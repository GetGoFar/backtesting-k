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ClaudeTest\Inbestme\"/>
    </mc:Choice>
  </mc:AlternateContent>
  <xr:revisionPtr revIDLastSave="0" documentId="13_ncr:1_{D26F1343-8F9B-403A-A73C-667A9556AD0E}" xr6:coauthVersionLast="47" xr6:coauthVersionMax="47" xr10:uidLastSave="{00000000-0000-0000-0000-000000000000}"/>
  <bookViews>
    <workbookView xWindow="19110" yWindow="0" windowWidth="19380" windowHeight="21690" xr2:uid="{00000000-000D-0000-FFFF-FFFF00000000}"/>
  </bookViews>
  <sheets>
    <sheet name="Carteras K Inbestme" sheetId="1" r:id="rId1"/>
    <sheet name="TER por ETF y Cartera" sheetId="2" r:id="rId2"/>
    <sheet name="Desglose Geografico y Ratings" sheetId="3" r:id="rId3"/>
    <sheet name="Metricas por Cartera" sheetId="4" r:id="rId4"/>
    <sheet name="Metricas desde 202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6" i="1" l="1"/>
  <c r="N56" i="1"/>
  <c r="M56" i="1"/>
  <c r="L56" i="1"/>
  <c r="K56" i="1"/>
  <c r="J56" i="1"/>
  <c r="I56" i="1"/>
  <c r="H56" i="1"/>
  <c r="G56" i="1"/>
  <c r="F56" i="1"/>
  <c r="O32" i="1"/>
  <c r="N32" i="1"/>
  <c r="M32" i="1"/>
  <c r="L32" i="1"/>
  <c r="K32" i="1"/>
  <c r="J32" i="1"/>
  <c r="I32" i="1"/>
  <c r="H32" i="1"/>
  <c r="G32" i="1"/>
  <c r="F32" i="1"/>
  <c r="L27" i="1"/>
  <c r="K27" i="1"/>
  <c r="O26" i="1"/>
  <c r="N26" i="1"/>
  <c r="L26" i="1"/>
  <c r="K26" i="1"/>
  <c r="J26" i="1"/>
  <c r="H26" i="1"/>
  <c r="G26" i="1"/>
  <c r="F26" i="1"/>
  <c r="J25" i="1"/>
  <c r="I25" i="1"/>
  <c r="H25" i="1"/>
  <c r="G25" i="1"/>
  <c r="F25" i="1"/>
  <c r="J24" i="1"/>
  <c r="J27" i="1" s="1"/>
  <c r="I24" i="1"/>
  <c r="I26" i="1" s="1"/>
  <c r="H24" i="1"/>
  <c r="H27" i="1" s="1"/>
  <c r="G24" i="1"/>
  <c r="G27" i="1" s="1"/>
  <c r="F24" i="1"/>
  <c r="F27" i="1" s="1"/>
  <c r="N17" i="1"/>
  <c r="N27" i="1" s="1"/>
  <c r="M17" i="1"/>
  <c r="M27" i="1" s="1"/>
  <c r="J11" i="1"/>
  <c r="I11" i="1"/>
  <c r="H11" i="1"/>
  <c r="G11" i="1"/>
  <c r="F11" i="1"/>
  <c r="O10" i="1"/>
  <c r="N10" i="1"/>
  <c r="M10" i="1"/>
  <c r="L10" i="1"/>
  <c r="K10" i="1"/>
  <c r="J10" i="1"/>
  <c r="I10" i="1"/>
  <c r="H10" i="1"/>
  <c r="G10" i="1"/>
  <c r="F10" i="1"/>
  <c r="O9" i="1"/>
  <c r="N9" i="1"/>
  <c r="M9" i="1"/>
  <c r="L9" i="1"/>
  <c r="K9" i="1"/>
  <c r="J9" i="1"/>
  <c r="I9" i="1"/>
  <c r="H9" i="1"/>
  <c r="G9" i="1"/>
  <c r="F9" i="1"/>
  <c r="O8" i="1"/>
  <c r="N8" i="1"/>
  <c r="M8" i="1"/>
  <c r="L8" i="1"/>
  <c r="K8" i="1"/>
  <c r="J8" i="1"/>
  <c r="I8" i="1"/>
  <c r="H8" i="1"/>
  <c r="G8" i="1"/>
  <c r="F8" i="1"/>
  <c r="O7" i="1"/>
  <c r="N7" i="1"/>
  <c r="M7" i="1"/>
  <c r="L7" i="1"/>
  <c r="K7" i="1"/>
  <c r="J7" i="1"/>
  <c r="I7" i="1"/>
  <c r="H7" i="1"/>
  <c r="G7" i="1"/>
  <c r="F7" i="1"/>
  <c r="O6" i="1"/>
  <c r="O11" i="1" s="1"/>
  <c r="N6" i="1"/>
  <c r="N11" i="1" s="1"/>
  <c r="M6" i="1"/>
  <c r="M11" i="1" s="1"/>
  <c r="L6" i="1"/>
  <c r="L11" i="1" s="1"/>
  <c r="K6" i="1"/>
  <c r="K11" i="1" s="1"/>
  <c r="J6" i="1"/>
  <c r="I6" i="1"/>
  <c r="H6" i="1"/>
  <c r="G6" i="1"/>
  <c r="F6" i="1"/>
  <c r="O5" i="1"/>
  <c r="N5" i="1"/>
  <c r="M5" i="1"/>
  <c r="L5" i="1"/>
  <c r="K5" i="1"/>
  <c r="J5" i="1"/>
  <c r="I5" i="1"/>
  <c r="H5" i="1"/>
  <c r="G5" i="1"/>
  <c r="F5" i="1"/>
  <c r="M26" i="1" l="1"/>
  <c r="I27" i="1"/>
</calcChain>
</file>

<file path=xl/sharedStrings.xml><?xml version="1.0" encoding="utf-8"?>
<sst xmlns="http://schemas.openxmlformats.org/spreadsheetml/2006/main" count="284" uniqueCount="128">
  <si>
    <t>Renta Variable</t>
  </si>
  <si>
    <t>ISIN</t>
  </si>
  <si>
    <t>IE00BM67HN09</t>
  </si>
  <si>
    <t>Xtrackers MSCI World Consumer Staples UCITS ETF 1C</t>
  </si>
  <si>
    <t>MSCI Staple</t>
  </si>
  <si>
    <t>IE00BM67HQ30</t>
  </si>
  <si>
    <t>Xtrackers MSCI World Utilities UCITS ETF 1C</t>
  </si>
  <si>
    <t>MSCI Utilities</t>
  </si>
  <si>
    <t>IE00BM67HK77</t>
  </si>
  <si>
    <t>Xtrackers MSCI World Health Care UCITS ETF 1C</t>
  </si>
  <si>
    <t>MSCI Health Care</t>
  </si>
  <si>
    <t>IE00BM67HT60</t>
  </si>
  <si>
    <t>Xtrackers MSCI World Information Technology UCITS ETF 1C</t>
  </si>
  <si>
    <t>MSCI Technology</t>
  </si>
  <si>
    <t>IE00BM67HM91</t>
  </si>
  <si>
    <t>Xtrackers MSCI World Energy UCITS ETF 1C</t>
  </si>
  <si>
    <t>MSCI Energy</t>
  </si>
  <si>
    <t>IE000G6GSP88</t>
  </si>
  <si>
    <t>HSBC FTSE EPRA NAREIT Developed UCITS ETF USD (Acc)</t>
  </si>
  <si>
    <t>Global Real Estate</t>
  </si>
  <si>
    <t>Total Renta Variable</t>
  </si>
  <si>
    <t>Renta Fija</t>
  </si>
  <si>
    <t>Tipo</t>
  </si>
  <si>
    <t>Gubernamental</t>
  </si>
  <si>
    <t>LU1650489385</t>
  </si>
  <si>
    <t>Amundi Euro Government Bond 10-15Y UCITS ETF Acc</t>
  </si>
  <si>
    <t>Largo Plazo</t>
  </si>
  <si>
    <t>LU1287023185</t>
  </si>
  <si>
    <t>Amundi Euro Government Bond 7-10Y UCITS ETF Acc</t>
  </si>
  <si>
    <t>Medio Plazo</t>
  </si>
  <si>
    <t>LU0290357176</t>
  </si>
  <si>
    <t>Xtrackers Eurozone Government Bond 5-7 UCITS ETF 1C</t>
  </si>
  <si>
    <t>IE00BDFK1573</t>
  </si>
  <si>
    <t>iShares USD Treasury Bond 1-3yr UCITS ETF EUR Hedged (Acc)</t>
  </si>
  <si>
    <t>Corto Plazo</t>
  </si>
  <si>
    <t>LU0290356871</t>
  </si>
  <si>
    <t>Xtrackers II Eurozone Government Bond 1-3 UCITS ETF 1C</t>
  </si>
  <si>
    <t>LU2233156582</t>
  </si>
  <si>
    <t>Amundi Prime Euro Government Bond 0-1Y UCITS ETF Acc</t>
  </si>
  <si>
    <t>Ultra Corto Plazo</t>
  </si>
  <si>
    <t>IE00BGYWT403</t>
  </si>
  <si>
    <t>Vanguard EUR Corporate Bond UCITS ETF Accumulating</t>
  </si>
  <si>
    <t>Corporativa</t>
  </si>
  <si>
    <t>IE00BJK55C48</t>
  </si>
  <si>
    <t>iShares EUR High Yield Corporate Bond ESG UCITS ETF EUR (Acc)</t>
  </si>
  <si>
    <t xml:space="preserve">High Yield </t>
  </si>
  <si>
    <t>Total Renta Fija</t>
  </si>
  <si>
    <t>Duración Modificada</t>
  </si>
  <si>
    <t>Oro</t>
  </si>
  <si>
    <t>Activo</t>
  </si>
  <si>
    <t>IE00B4ND3602</t>
  </si>
  <si>
    <t>iShares Physical Gold ETC</t>
  </si>
  <si>
    <t>Pesos por Clase</t>
  </si>
  <si>
    <t>Tabla con distribución de pesos por clase de activo en función de su perfil de riesgo</t>
  </si>
  <si>
    <t>20,0%</t>
  </si>
  <si>
    <t>TOTAL</t>
  </si>
  <si>
    <t>Tabla de distribución de peso por sector</t>
  </si>
  <si>
    <t>Renta Fija Peso Relativo Cartera</t>
  </si>
  <si>
    <t>High Yield</t>
  </si>
  <si>
    <t>TER (Total Expense Ratio) por ETF</t>
  </si>
  <si>
    <t>Nombre del ETF</t>
  </si>
  <si>
    <t>Clase</t>
  </si>
  <si>
    <t>TER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</si>
  <si>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</si>
  <si>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</si>
  <si>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</si>
  <si>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</si>
  <si>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</si>
  <si>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</si>
  <si>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</si>
  <si>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</si>
  <si>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</si>
  <si>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</si>
  <si>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RV</t>
  </si>
  <si>
    <t>RF</t>
  </si>
  <si>
    <t>TER Ponderado por Cartera</t>
  </si>
  <si>
    <t>Cartera</t>
  </si>
  <si>
    <t>TER Ponderado</t>
  </si>
  <si>
    <t>Cartera 1</t>
  </si>
  <si>
    <t>Cartera 2</t>
  </si>
  <si>
    <t>Cartera 3</t>
  </si>
  <si>
    <t>Cartera 4</t>
  </si>
  <si>
    <t>Cartera 5</t>
  </si>
  <si>
    <t>Cartera 6</t>
  </si>
  <si>
    <t>Cartera 7</t>
  </si>
  <si>
    <t>Cartera 8</t>
  </si>
  <si>
    <t>Cartera 9</t>
  </si>
  <si>
    <t>Cartera 10</t>
  </si>
  <si>
    <t>RENTA VARIABLE - Distribucion Geografica</t>
  </si>
  <si>
    <t>Region</t>
  </si>
  <si>
    <t>USA</t>
  </si>
  <si>
    <t>Europa</t>
  </si>
  <si>
    <t>Japon</t>
  </si>
  <si>
    <t>Otros</t>
  </si>
  <si>
    <t>RENTA FIJA - Distribucion Geografica</t>
  </si>
  <si>
    <t>Eurozona</t>
  </si>
  <si>
    <t>RENTA FIJA - Duracion Media (anios)</t>
  </si>
  <si>
    <t>Metrica</t>
  </si>
  <si>
    <t>Duracion Media</t>
  </si>
  <si>
    <t>RENTA FIJA - Rating Crediticio S&amp;P</t>
  </si>
  <si>
    <t>Rating</t>
  </si>
  <si>
    <t>AAA</t>
  </si>
  <si>
    <t>AA</t>
  </si>
  <si>
    <t>A</t>
  </si>
  <si>
    <t>BBB</t>
  </si>
  <si>
    <t>HY (BB y menor)</t>
  </si>
  <si>
    <t>Metricas de Rendimiento por Cartera (Portfolio Visualizer)</t>
  </si>
  <si>
    <t>Periodo: Agosto 2021 - Febrero 2026</t>
  </si>
  <si>
    <t>Perfil Riesgo</t>
  </si>
  <si>
    <t>CAGR</t>
  </si>
  <si>
    <t>Desv. Estandar</t>
  </si>
  <si>
    <t>Max Drawdown</t>
  </si>
  <si>
    <t>Sharpe Ratio</t>
  </si>
  <si>
    <t>Muy Conservador</t>
  </si>
  <si>
    <t>Conservador</t>
  </si>
  <si>
    <t>Moderado-Conservador</t>
  </si>
  <si>
    <t>Moderado</t>
  </si>
  <si>
    <t>Moderado-Dinamico</t>
  </si>
  <si>
    <t>Dinamico</t>
  </si>
  <si>
    <t>Dinamico-Agresivo</t>
  </si>
  <si>
    <t>Agresivo</t>
  </si>
  <si>
    <t>Muy Agresivo</t>
  </si>
  <si>
    <t>Maximo Riesgo</t>
  </si>
  <si>
    <t>Benchmark</t>
  </si>
  <si>
    <t>MSCI ACWI</t>
  </si>
  <si>
    <t>Metricas de Rendimiento por Cartera (Desde Enero 2024)</t>
  </si>
  <si>
    <t>Periodo: Enero 2024 - Febrero 2026 (26 meses)</t>
  </si>
  <si>
    <t>Nota: Sharpe Ratio calculado con tasa libre de riesgo del 3.5%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</si>
</sst>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_-;\-* #,##0.00_-;_-* &quot;-&quot;??_-;_-@"/>
    <numFmt numFmtId="165" formatCode="0.0000%"/>
    <numFmt numFmtId="166" formatCode="0.0%"/>
  </numFmts>
  <fonts count="22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ptos Narrow"/>
    </font>
    <font>
      <b/>
      <sz val="11"/>
      <color theme="1"/>
      <name val="Aptos Narrow"/>
    </font>
    <font>
      <sz val="11"/>
      <color theme="0"/>
      <name val="Aptos Narrow"/>
    </font>
    <font>
      <sz val="11"/>
      <color theme="1"/>
      <name val="Arial"/>
    </font>
    <font>
      <sz val="10"/>
      <color theme="1"/>
      <name val="Arial"/>
    </font>
    <font>
      <sz val="10"/>
      <color rgb="FF000000"/>
      <name val="Arial"/>
      <scheme val="minor"/>
    </font>
    <font>
      <sz val="11"/>
      <color rgb="FF000000"/>
      <name val="Aptos Narrow"/>
      <family val="2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</font>
    <font>
      <sz val="11"/>
      <color theme="0"/>
      <name val="Aptos Narrow"/>
      <family val="2"/>
    </font>
    <font>
      <sz val="11"/>
      <color theme="1"/>
      <name val="Aptos Narrow"/>
      <family val="2"/>
    </font>
    <font>
      <sz val="11"/>
      <color rgb="FFFFFFFF"/>
      <name val="Arial"/>
      <family val="2"/>
    </font>
    <font>
      <sz val="11"/>
      <color rgb="FFFFFFFF"/>
      <name val="Aptos Narrow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4"/>
      <name val="Arial"/>
    </font>
    <font>
      <b/>
      <sz val="10"/>
      <color rgb="FFFFFFFF"/>
      <name val="Arial"/>
    </font>
    <font>
      <i/>
      <sz val="10"/>
      <name val="Arial"/>
    </font>
    <font>
      <b/>
      <sz val="10"/>
      <name val="Arial"/>
    </font>
    <font>
      <i/>
      <sz val="9"/>
      <name val="Arial"/>
    </font>
  </fonts>
  <fills count="23">
    <fill>
      <patternFill patternType="none"/>
    </fill>
    <fill>
      <patternFill patternType="gray125"/>
    </fill>
    <fill>
      <patternFill patternType="solid">
        <fgColor rgb="FFC1E4F5"/>
        <bgColor rgb="FFC1E4F5"/>
      </patternFill>
    </fill>
    <fill>
      <patternFill patternType="solid">
        <fgColor theme="4"/>
        <bgColor theme="4"/>
      </patternFill>
    </fill>
    <fill>
      <patternFill patternType="solid">
        <fgColor rgb="FF45B0E1"/>
        <bgColor rgb="FF45B0E1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47D45A"/>
        <bgColor rgb="FF47D45A"/>
      </patternFill>
    </fill>
    <fill>
      <patternFill patternType="solid">
        <fgColor rgb="FF84E291"/>
        <bgColor rgb="FF84E291"/>
      </patternFill>
    </fill>
    <fill>
      <patternFill patternType="solid">
        <fgColor rgb="FFC1F0C8"/>
        <bgColor rgb="FFC1F0C8"/>
      </patternFill>
    </fill>
    <fill>
      <patternFill patternType="solid">
        <fgColor rgb="FFBF4F14"/>
        <bgColor rgb="FFBF4F14"/>
      </patternFill>
    </fill>
    <fill>
      <patternFill patternType="solid">
        <fgColor rgb="FF196B24"/>
        <bgColor rgb="FF196B24"/>
      </patternFill>
    </fill>
    <fill>
      <patternFill patternType="solid">
        <fgColor rgb="FFA02B93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196B24"/>
        <bgColor indexed="64"/>
      </patternFill>
    </fill>
    <fill>
      <patternFill patternType="solid">
        <fgColor rgb="FFE97132"/>
        <bgColor indexed="64"/>
      </patternFill>
    </fill>
    <fill>
      <patternFill patternType="solid">
        <fgColor rgb="FF45B0E1"/>
        <bgColor indexed="64"/>
      </patternFill>
    </fill>
    <fill>
      <patternFill patternType="solid">
        <fgColor rgb="FFC1E4F5"/>
        <bgColor indexed="64"/>
      </patternFill>
    </fill>
    <fill>
      <patternFill patternType="solid">
        <fgColor rgb="FF4EA72E"/>
        <bgColor indexed="64"/>
      </patternFill>
    </fill>
    <fill>
      <patternFill patternType="solid">
        <fgColor rgb="FF8ED873"/>
        <bgColor indexed="64"/>
      </patternFill>
    </fill>
    <fill>
      <patternFill patternType="solid">
        <fgColor rgb="FFB3E5A1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4472C4"/>
        <bgColor rgb="FF4472C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1"/>
    <xf numFmtId="43" fontId="7" fillId="0" borderId="1"/>
    <xf numFmtId="9" fontId="7" fillId="0" borderId="1"/>
    <xf numFmtId="0" fontId="1" fillId="21" borderId="1"/>
  </cellStyleXfs>
  <cellXfs count="68">
    <xf numFmtId="0" fontId="0" fillId="0" borderId="0" xfId="0" applyBorder="1"/>
    <xf numFmtId="0" fontId="3" fillId="0" borderId="0" xfId="0" applyFont="1" applyBorder="1"/>
    <xf numFmtId="0" fontId="4" fillId="3" borderId="1" xfId="0" applyFont="1" applyFill="1"/>
    <xf numFmtId="0" fontId="3" fillId="0" borderId="2" xfId="0" applyFont="1" applyBorder="1"/>
    <xf numFmtId="0" fontId="2" fillId="4" borderId="3" xfId="0" applyFont="1" applyFill="1" applyBorder="1"/>
    <xf numFmtId="0" fontId="2" fillId="4" borderId="1" xfId="0" applyFont="1" applyFill="1"/>
    <xf numFmtId="0" fontId="5" fillId="2" borderId="1" xfId="0" applyFont="1" applyFill="1"/>
    <xf numFmtId="0" fontId="2" fillId="4" borderId="4" xfId="0" applyFont="1" applyFill="1" applyBorder="1"/>
    <xf numFmtId="0" fontId="2" fillId="4" borderId="5" xfId="0" applyFont="1" applyFill="1" applyBorder="1"/>
    <xf numFmtId="0" fontId="6" fillId="0" borderId="0" xfId="0" applyFont="1" applyBorder="1"/>
    <xf numFmtId="0" fontId="4" fillId="5" borderId="1" xfId="0" applyFont="1" applyFill="1"/>
    <xf numFmtId="164" fontId="2" fillId="7" borderId="4" xfId="0" applyNumberFormat="1" applyFont="1" applyFill="1" applyBorder="1"/>
    <xf numFmtId="0" fontId="2" fillId="7" borderId="4" xfId="0" applyFont="1" applyFill="1" applyBorder="1"/>
    <xf numFmtId="0" fontId="2" fillId="7" borderId="5" xfId="0" applyFont="1" applyFill="1" applyBorder="1"/>
    <xf numFmtId="0" fontId="4" fillId="10" borderId="1" xfId="0" applyFont="1" applyFill="1"/>
    <xf numFmtId="0" fontId="8" fillId="0" borderId="7" xfId="0" applyFont="1" applyBorder="1" applyAlignment="1">
      <alignment wrapText="1"/>
    </xf>
    <xf numFmtId="0" fontId="9" fillId="0" borderId="0" xfId="0" applyFont="1" applyBorder="1"/>
    <xf numFmtId="0" fontId="10" fillId="0" borderId="0" xfId="0" applyFont="1" applyBorder="1"/>
    <xf numFmtId="0" fontId="11" fillId="6" borderId="6" xfId="0" applyFont="1" applyFill="1" applyBorder="1"/>
    <xf numFmtId="0" fontId="12" fillId="7" borderId="0" xfId="0" applyFont="1" applyFill="1" applyBorder="1"/>
    <xf numFmtId="0" fontId="12" fillId="8" borderId="0" xfId="0" applyFont="1" applyFill="1" applyBorder="1"/>
    <xf numFmtId="0" fontId="12" fillId="9" borderId="0" xfId="0" applyFont="1" applyFill="1" applyBorder="1"/>
    <xf numFmtId="0" fontId="14" fillId="11" borderId="1" xfId="0" applyFont="1" applyFill="1"/>
    <xf numFmtId="0" fontId="13" fillId="12" borderId="7" xfId="0" applyFont="1" applyFill="1" applyBorder="1" applyAlignment="1">
      <alignment wrapText="1"/>
    </xf>
    <xf numFmtId="0" fontId="15" fillId="0" borderId="7" xfId="0" applyFont="1" applyBorder="1" applyAlignment="1">
      <alignment vertical="center"/>
    </xf>
    <xf numFmtId="0" fontId="14" fillId="13" borderId="7" xfId="0" applyFont="1" applyFill="1" applyBorder="1" applyAlignment="1">
      <alignment wrapText="1"/>
    </xf>
    <xf numFmtId="9" fontId="0" fillId="0" borderId="0" xfId="0" applyNumberFormat="1" applyBorder="1"/>
    <xf numFmtId="9" fontId="14" fillId="13" borderId="7" xfId="0" applyNumberFormat="1" applyFont="1" applyFill="1" applyBorder="1" applyAlignment="1">
      <alignment horizontal="right" wrapText="1"/>
    </xf>
    <xf numFmtId="0" fontId="14" fillId="14" borderId="7" xfId="0" applyFont="1" applyFill="1" applyBorder="1" applyAlignment="1">
      <alignment wrapText="1"/>
    </xf>
    <xf numFmtId="9" fontId="14" fillId="14" borderId="7" xfId="0" applyNumberFormat="1" applyFont="1" applyFill="1" applyBorder="1" applyAlignment="1">
      <alignment horizontal="right" wrapText="1"/>
    </xf>
    <xf numFmtId="0" fontId="14" fillId="15" borderId="7" xfId="0" applyFont="1" applyFill="1" applyBorder="1" applyAlignment="1">
      <alignment wrapText="1"/>
    </xf>
    <xf numFmtId="9" fontId="14" fillId="15" borderId="7" xfId="0" applyNumberFormat="1" applyFont="1" applyFill="1" applyBorder="1" applyAlignment="1">
      <alignment horizontal="right" wrapText="1"/>
    </xf>
    <xf numFmtId="0" fontId="14" fillId="15" borderId="7" xfId="0" applyFont="1" applyFill="1" applyBorder="1" applyAlignment="1">
      <alignment horizontal="right" wrapText="1"/>
    </xf>
    <xf numFmtId="0" fontId="14" fillId="12" borderId="7" xfId="0" applyFont="1" applyFill="1" applyBorder="1" applyAlignment="1">
      <alignment wrapText="1"/>
    </xf>
    <xf numFmtId="9" fontId="14" fillId="12" borderId="7" xfId="0" applyNumberFormat="1" applyFont="1" applyFill="1" applyBorder="1" applyAlignment="1">
      <alignment horizontal="right" wrapText="1"/>
    </xf>
    <xf numFmtId="0" fontId="8" fillId="16" borderId="7" xfId="0" applyFont="1" applyFill="1" applyBorder="1" applyAlignment="1">
      <alignment wrapText="1"/>
    </xf>
    <xf numFmtId="0" fontId="16" fillId="17" borderId="7" xfId="0" applyFont="1" applyFill="1" applyBorder="1" applyAlignment="1">
      <alignment wrapText="1"/>
    </xf>
    <xf numFmtId="0" fontId="14" fillId="18" borderId="7" xfId="0" applyFont="1" applyFill="1" applyBorder="1" applyAlignment="1">
      <alignment wrapText="1"/>
    </xf>
    <xf numFmtId="9" fontId="14" fillId="18" borderId="7" xfId="0" applyNumberFormat="1" applyFont="1" applyFill="1" applyBorder="1" applyAlignment="1">
      <alignment horizontal="right" wrapText="1"/>
    </xf>
    <xf numFmtId="0" fontId="8" fillId="19" borderId="7" xfId="0" applyFont="1" applyFill="1" applyBorder="1" applyAlignment="1">
      <alignment wrapText="1"/>
    </xf>
    <xf numFmtId="9" fontId="8" fillId="19" borderId="7" xfId="0" applyNumberFormat="1" applyFont="1" applyFill="1" applyBorder="1" applyAlignment="1">
      <alignment horizontal="right" wrapText="1"/>
    </xf>
    <xf numFmtId="0" fontId="8" fillId="20" borderId="7" xfId="0" applyFont="1" applyFill="1" applyBorder="1" applyAlignment="1">
      <alignment wrapText="1"/>
    </xf>
    <xf numFmtId="9" fontId="8" fillId="20" borderId="7" xfId="0" applyNumberFormat="1" applyFont="1" applyFill="1" applyBorder="1" applyAlignment="1">
      <alignment horizontal="right" wrapText="1"/>
    </xf>
    <xf numFmtId="10" fontId="16" fillId="16" borderId="7" xfId="0" applyNumberFormat="1" applyFont="1" applyFill="1" applyBorder="1" applyAlignment="1">
      <alignment horizontal="right" wrapText="1"/>
    </xf>
    <xf numFmtId="10" fontId="16" fillId="17" borderId="7" xfId="0" applyNumberFormat="1" applyFont="1" applyFill="1" applyBorder="1" applyAlignment="1">
      <alignment horizontal="right" wrapText="1"/>
    </xf>
    <xf numFmtId="10" fontId="0" fillId="0" borderId="0" xfId="2" applyNumberFormat="1" applyFont="1" applyBorder="1"/>
    <xf numFmtId="43" fontId="0" fillId="0" borderId="0" xfId="1" applyFont="1" applyBorder="1"/>
    <xf numFmtId="9" fontId="2" fillId="7" borderId="5" xfId="2" applyFont="1" applyFill="1" applyBorder="1"/>
    <xf numFmtId="0" fontId="0" fillId="0" borderId="1" xfId="0"/>
    <xf numFmtId="0" fontId="12" fillId="9" borderId="1" xfId="0" applyFont="1" applyFill="1"/>
    <xf numFmtId="9" fontId="0" fillId="0" borderId="1" xfId="0" applyNumberFormat="1"/>
    <xf numFmtId="0" fontId="1" fillId="21" borderId="0" xfId="3" applyBorder="1"/>
    <xf numFmtId="0" fontId="17" fillId="0" borderId="0" xfId="0" applyFont="1" applyBorder="1"/>
    <xf numFmtId="0" fontId="18" fillId="22" borderId="8" xfId="0" applyFont="1" applyFill="1" applyBorder="1"/>
    <xf numFmtId="0" fontId="0" fillId="0" borderId="8" xfId="0" applyBorder="1"/>
    <xf numFmtId="10" fontId="0" fillId="0" borderId="8" xfId="0" applyNumberFormat="1" applyBorder="1"/>
    <xf numFmtId="0" fontId="18" fillId="22" borderId="0" xfId="0" applyFont="1" applyFill="1" applyBorder="1"/>
    <xf numFmtId="165" fontId="0" fillId="0" borderId="8" xfId="0" applyNumberFormat="1" applyBorder="1"/>
    <xf numFmtId="166" fontId="0" fillId="0" borderId="8" xfId="0" applyNumberFormat="1" applyBorder="1"/>
    <xf numFmtId="2" fontId="0" fillId="0" borderId="8" xfId="0" applyNumberFormat="1" applyBorder="1"/>
    <xf numFmtId="0" fontId="19" fillId="0" borderId="0" xfId="0" applyFont="1" applyBorder="1"/>
    <xf numFmtId="0" fontId="18" fillId="22" borderId="8" xfId="0" applyFont="1" applyFill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20" fillId="0" borderId="0" xfId="0" applyFont="1" applyBorder="1"/>
    <xf numFmtId="0" fontId="17" fillId="0" borderId="1" xfId="0" applyFont="1"/>
    <xf numFmtId="0" fontId="19" fillId="0" borderId="1" xfId="0" applyFont="1"/>
    <xf numFmtId="0" fontId="21" fillId="0" borderId="1" xfId="0" applyFont="1"/>
  </cellXfs>
  <cellStyles count="4">
    <cellStyle name="20% - Énfasis4" xfId="3" builtinId="42"/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783"/>
  <sheetViews>
    <sheetView tabSelected="1" workbookViewId="0">
      <selection activeCell="Q29" sqref="Q29"/>
    </sheetView>
  </sheetViews>
  <sheetFormatPr baseColWidth="10" defaultColWidth="12.6328125" defaultRowHeight="15.75" customHeight="1" x14ac:dyDescent="0.25"/>
  <cols>
    <col min="1" max="2" width="10.6328125" customWidth="1"/>
    <col min="3" max="3" width="13.6328125" bestFit="1" customWidth="1"/>
    <col min="4" max="4" width="61.453125" customWidth="1"/>
    <col min="5" max="5" width="53.1796875" bestFit="1" customWidth="1"/>
    <col min="6" max="19" width="10.6328125" customWidth="1"/>
  </cols>
  <sheetData>
    <row r="1" spans="3:15" ht="14.25" customHeight="1" x14ac:dyDescent="0.25"/>
    <row r="2" spans="3:15" ht="14.25" customHeight="1" x14ac:dyDescent="0.35">
      <c r="E2" s="2" t="s">
        <v>0</v>
      </c>
    </row>
    <row r="3" spans="3:15" ht="14.25" customHeight="1" x14ac:dyDescent="0.25"/>
    <row r="4" spans="3:15" ht="14.25" customHeight="1" thickBot="1" x14ac:dyDescent="0.4">
      <c r="C4" s="16" t="s">
        <v>1</v>
      </c>
      <c r="D4" s="1"/>
      <c r="E4" s="3"/>
      <c r="F4">
        <v>1</v>
      </c>
      <c r="G4">
        <v>2</v>
      </c>
      <c r="H4">
        <v>3</v>
      </c>
      <c r="I4">
        <v>4</v>
      </c>
      <c r="J4">
        <v>5</v>
      </c>
      <c r="K4">
        <v>6</v>
      </c>
      <c r="L4">
        <v>7</v>
      </c>
      <c r="M4">
        <v>8</v>
      </c>
      <c r="N4">
        <v>9</v>
      </c>
      <c r="O4">
        <v>10</v>
      </c>
    </row>
    <row r="5" spans="3:15" ht="14.25" customHeight="1" x14ac:dyDescent="0.35">
      <c r="C5" t="s">
        <v>2</v>
      </c>
      <c r="D5" s="4" t="s">
        <v>3</v>
      </c>
      <c r="E5" s="5" t="s">
        <v>4</v>
      </c>
      <c r="F5" s="45">
        <f t="shared" ref="F5:F10" si="0">+$F$38*F46</f>
        <v>1.2500000000000001E-2</v>
      </c>
      <c r="G5" s="45">
        <f t="shared" ref="G5:G10" si="1">+$G$38*F46</f>
        <v>1.8749999999999999E-2</v>
      </c>
      <c r="H5" s="45">
        <f t="shared" ref="H5:H10" si="2">+$H$38*F46</f>
        <v>3.125E-2</v>
      </c>
      <c r="I5" s="45">
        <f t="shared" ref="I5:I10" si="3">+$I$38*F46</f>
        <v>4.3749999999999997E-2</v>
      </c>
      <c r="J5" s="45">
        <f t="shared" ref="J5:J10" si="4">+$J$38*F46</f>
        <v>5.6250000000000001E-2</v>
      </c>
      <c r="K5" s="45">
        <f t="shared" ref="K5:K10" si="5">+$K$38*F46</f>
        <v>7.4999999999999997E-2</v>
      </c>
      <c r="L5" s="45">
        <f t="shared" ref="L5:L10" si="6">+$L$38*F46</f>
        <v>8.1250000000000003E-2</v>
      </c>
      <c r="M5" s="45">
        <f t="shared" ref="M5:M10" si="7">+$M$38*F46</f>
        <v>8.7499999999999994E-2</v>
      </c>
      <c r="N5" s="45">
        <f t="shared" ref="N5:N10" si="8">+$N$38*F46</f>
        <v>9.375E-2</v>
      </c>
      <c r="O5" s="45">
        <f t="shared" ref="O5:O10" si="9">+$O$38*F46</f>
        <v>0.1</v>
      </c>
    </row>
    <row r="6" spans="3:15" ht="14.25" customHeight="1" x14ac:dyDescent="0.3">
      <c r="C6" t="s">
        <v>5</v>
      </c>
      <c r="D6" s="6" t="s">
        <v>6</v>
      </c>
      <c r="E6" s="6" t="s">
        <v>7</v>
      </c>
      <c r="F6" s="45">
        <f t="shared" si="0"/>
        <v>1.2500000000000001E-2</v>
      </c>
      <c r="G6" s="45">
        <f t="shared" si="1"/>
        <v>1.8749999999999999E-2</v>
      </c>
      <c r="H6" s="45">
        <f t="shared" si="2"/>
        <v>3.125E-2</v>
      </c>
      <c r="I6" s="45">
        <f t="shared" si="3"/>
        <v>4.3749999999999997E-2</v>
      </c>
      <c r="J6" s="45">
        <f t="shared" si="4"/>
        <v>5.6250000000000001E-2</v>
      </c>
      <c r="K6" s="45">
        <f t="shared" si="5"/>
        <v>7.4999999999999997E-2</v>
      </c>
      <c r="L6" s="45">
        <f t="shared" si="6"/>
        <v>8.1250000000000003E-2</v>
      </c>
      <c r="M6" s="45">
        <f t="shared" si="7"/>
        <v>8.7499999999999994E-2</v>
      </c>
      <c r="N6" s="45">
        <f t="shared" si="8"/>
        <v>9.375E-2</v>
      </c>
      <c r="O6" s="45">
        <f t="shared" si="9"/>
        <v>0.1</v>
      </c>
    </row>
    <row r="7" spans="3:15" ht="14.25" customHeight="1" x14ac:dyDescent="0.35">
      <c r="C7" t="s">
        <v>8</v>
      </c>
      <c r="D7" s="4" t="s">
        <v>9</v>
      </c>
      <c r="E7" s="4" t="s">
        <v>10</v>
      </c>
      <c r="F7" s="45">
        <f t="shared" si="0"/>
        <v>2.5000000000000001E-2</v>
      </c>
      <c r="G7" s="45">
        <f t="shared" si="1"/>
        <v>3.7499999999999999E-2</v>
      </c>
      <c r="H7" s="45">
        <f t="shared" si="2"/>
        <v>6.25E-2</v>
      </c>
      <c r="I7" s="45">
        <f t="shared" si="3"/>
        <v>8.7499999999999994E-2</v>
      </c>
      <c r="J7" s="45">
        <f t="shared" si="4"/>
        <v>0.1125</v>
      </c>
      <c r="K7" s="45">
        <f t="shared" si="5"/>
        <v>0.15</v>
      </c>
      <c r="L7" s="45">
        <f t="shared" si="6"/>
        <v>0.16250000000000001</v>
      </c>
      <c r="M7" s="45">
        <f t="shared" si="7"/>
        <v>0.17499999999999999</v>
      </c>
      <c r="N7" s="45">
        <f t="shared" si="8"/>
        <v>0.1875</v>
      </c>
      <c r="O7" s="45">
        <f t="shared" si="9"/>
        <v>0.2</v>
      </c>
    </row>
    <row r="8" spans="3:15" ht="14.25" customHeight="1" x14ac:dyDescent="0.3">
      <c r="C8" t="s">
        <v>11</v>
      </c>
      <c r="D8" s="6" t="s">
        <v>12</v>
      </c>
      <c r="E8" s="6" t="s">
        <v>13</v>
      </c>
      <c r="F8" s="45">
        <f t="shared" si="0"/>
        <v>2.5000000000000001E-2</v>
      </c>
      <c r="G8" s="45">
        <f t="shared" si="1"/>
        <v>3.7499999999999999E-2</v>
      </c>
      <c r="H8" s="45">
        <f t="shared" si="2"/>
        <v>6.25E-2</v>
      </c>
      <c r="I8" s="45">
        <f t="shared" si="3"/>
        <v>8.7499999999999994E-2</v>
      </c>
      <c r="J8" s="45">
        <f t="shared" si="4"/>
        <v>0.1125</v>
      </c>
      <c r="K8" s="45">
        <f t="shared" si="5"/>
        <v>0.15</v>
      </c>
      <c r="L8" s="45">
        <f t="shared" si="6"/>
        <v>0.16250000000000001</v>
      </c>
      <c r="M8" s="45">
        <f t="shared" si="7"/>
        <v>0.17499999999999999</v>
      </c>
      <c r="N8" s="45">
        <f t="shared" si="8"/>
        <v>0.1875</v>
      </c>
      <c r="O8" s="45">
        <f t="shared" si="9"/>
        <v>0.2</v>
      </c>
    </row>
    <row r="9" spans="3:15" ht="14.25" customHeight="1" x14ac:dyDescent="0.35">
      <c r="C9" t="s">
        <v>14</v>
      </c>
      <c r="D9" s="4" t="s">
        <v>15</v>
      </c>
      <c r="E9" s="4" t="s">
        <v>16</v>
      </c>
      <c r="F9" s="45">
        <f t="shared" si="0"/>
        <v>1.2500000000000001E-2</v>
      </c>
      <c r="G9" s="45">
        <f t="shared" si="1"/>
        <v>1.8749999999999999E-2</v>
      </c>
      <c r="H9" s="45">
        <f t="shared" si="2"/>
        <v>3.125E-2</v>
      </c>
      <c r="I9" s="45">
        <f t="shared" si="3"/>
        <v>4.3749999999999997E-2</v>
      </c>
      <c r="J9" s="45">
        <f t="shared" si="4"/>
        <v>5.6250000000000001E-2</v>
      </c>
      <c r="K9" s="45">
        <f t="shared" si="5"/>
        <v>7.4999999999999997E-2</v>
      </c>
      <c r="L9" s="45">
        <f t="shared" si="6"/>
        <v>8.1250000000000003E-2</v>
      </c>
      <c r="M9" s="45">
        <f t="shared" si="7"/>
        <v>8.7499999999999994E-2</v>
      </c>
      <c r="N9" s="45">
        <f t="shared" si="8"/>
        <v>9.375E-2</v>
      </c>
      <c r="O9" s="45">
        <f t="shared" si="9"/>
        <v>0.1</v>
      </c>
    </row>
    <row r="10" spans="3:15" ht="14.25" customHeight="1" thickBot="1" x14ac:dyDescent="0.35">
      <c r="C10" t="s">
        <v>17</v>
      </c>
      <c r="D10" s="6" t="s">
        <v>18</v>
      </c>
      <c r="E10" s="6" t="s">
        <v>19</v>
      </c>
      <c r="F10" s="45">
        <f t="shared" si="0"/>
        <v>1.2500000000000001E-2</v>
      </c>
      <c r="G10" s="45">
        <f t="shared" si="1"/>
        <v>1.8749999999999999E-2</v>
      </c>
      <c r="H10" s="45">
        <f t="shared" si="2"/>
        <v>3.125E-2</v>
      </c>
      <c r="I10" s="45">
        <f t="shared" si="3"/>
        <v>4.3749999999999997E-2</v>
      </c>
      <c r="J10" s="45">
        <f t="shared" si="4"/>
        <v>5.6250000000000001E-2</v>
      </c>
      <c r="K10" s="45">
        <f t="shared" si="5"/>
        <v>7.4999999999999997E-2</v>
      </c>
      <c r="L10" s="45">
        <f t="shared" si="6"/>
        <v>8.1250000000000003E-2</v>
      </c>
      <c r="M10" s="45">
        <f t="shared" si="7"/>
        <v>8.7499999999999994E-2</v>
      </c>
      <c r="N10" s="45">
        <f t="shared" si="8"/>
        <v>9.375E-2</v>
      </c>
      <c r="O10" s="45">
        <f t="shared" si="9"/>
        <v>0.1</v>
      </c>
    </row>
    <row r="11" spans="3:15" ht="14.25" customHeight="1" thickBot="1" x14ac:dyDescent="0.4">
      <c r="D11" s="7" t="s">
        <v>20</v>
      </c>
      <c r="E11" s="8"/>
      <c r="F11" s="45">
        <f t="shared" ref="F11:O11" si="10">SUM(F5:F10)</f>
        <v>0.1</v>
      </c>
      <c r="G11" s="45">
        <f t="shared" si="10"/>
        <v>0.14999999999999997</v>
      </c>
      <c r="H11" s="45">
        <f t="shared" si="10"/>
        <v>0.25</v>
      </c>
      <c r="I11" s="45">
        <f t="shared" si="10"/>
        <v>0.35</v>
      </c>
      <c r="J11" s="45">
        <f t="shared" si="10"/>
        <v>0.45000000000000007</v>
      </c>
      <c r="K11" s="45">
        <f t="shared" si="10"/>
        <v>0.59999999999999987</v>
      </c>
      <c r="L11" s="45">
        <f t="shared" si="10"/>
        <v>0.65000000000000013</v>
      </c>
      <c r="M11" s="45">
        <f t="shared" si="10"/>
        <v>0.7</v>
      </c>
      <c r="N11" s="45">
        <f t="shared" si="10"/>
        <v>0.75</v>
      </c>
      <c r="O11" s="45">
        <f t="shared" si="10"/>
        <v>0.8</v>
      </c>
    </row>
    <row r="12" spans="3:15" ht="14.25" customHeight="1" x14ac:dyDescent="0.25"/>
    <row r="13" spans="3:15" ht="14.25" customHeight="1" x14ac:dyDescent="0.35">
      <c r="D13" s="9"/>
      <c r="E13" s="10" t="s">
        <v>21</v>
      </c>
    </row>
    <row r="14" spans="3:15" ht="14.25" customHeight="1" x14ac:dyDescent="0.25"/>
    <row r="15" spans="3:15" ht="14.25" customHeight="1" thickBot="1" x14ac:dyDescent="0.4">
      <c r="D15" s="1"/>
      <c r="E15" s="3" t="s">
        <v>22</v>
      </c>
    </row>
    <row r="16" spans="3:15" ht="14.25" customHeight="1" x14ac:dyDescent="0.35">
      <c r="C16" s="17" t="s">
        <v>1</v>
      </c>
      <c r="D16" s="18"/>
      <c r="E16" s="18" t="s">
        <v>23</v>
      </c>
    </row>
    <row r="17" spans="2:15" ht="14.25" customHeight="1" x14ac:dyDescent="0.35">
      <c r="B17">
        <v>10.25</v>
      </c>
      <c r="C17" s="19" t="s">
        <v>24</v>
      </c>
      <c r="D17" s="19" t="s">
        <v>25</v>
      </c>
      <c r="E17" s="19" t="s">
        <v>26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6">
        <v>0</v>
      </c>
      <c r="L17" s="26">
        <v>0</v>
      </c>
      <c r="M17" s="26">
        <f>+M39</f>
        <v>0.1</v>
      </c>
      <c r="N17" s="26">
        <f>+N39</f>
        <v>0.05</v>
      </c>
      <c r="O17" s="26">
        <v>0</v>
      </c>
    </row>
    <row r="18" spans="2:15" ht="14.25" customHeight="1" x14ac:dyDescent="0.35">
      <c r="B18">
        <v>7.23</v>
      </c>
      <c r="C18" s="19" t="s">
        <v>27</v>
      </c>
      <c r="D18" s="19" t="s">
        <v>28</v>
      </c>
      <c r="E18" s="19" t="s">
        <v>29</v>
      </c>
      <c r="F18" s="26"/>
      <c r="G18" s="26"/>
      <c r="H18" s="26"/>
      <c r="I18" s="26"/>
      <c r="J18" s="26"/>
      <c r="K18" s="26">
        <v>0.2</v>
      </c>
      <c r="L18" s="26">
        <v>0.15</v>
      </c>
      <c r="M18" s="26"/>
      <c r="N18" s="26"/>
      <c r="O18" s="26"/>
    </row>
    <row r="19" spans="2:15" ht="14.25" customHeight="1" x14ac:dyDescent="0.35">
      <c r="B19">
        <v>5.6</v>
      </c>
      <c r="C19" s="20" t="s">
        <v>30</v>
      </c>
      <c r="D19" s="20" t="s">
        <v>31</v>
      </c>
      <c r="E19" s="20" t="s">
        <v>29</v>
      </c>
      <c r="F19" s="26">
        <v>0</v>
      </c>
      <c r="G19" s="26">
        <v>0</v>
      </c>
      <c r="H19" s="26">
        <v>0.15</v>
      </c>
      <c r="I19" s="26">
        <v>0.25</v>
      </c>
      <c r="J19" s="26">
        <v>0.25</v>
      </c>
      <c r="K19" s="26">
        <v>0</v>
      </c>
      <c r="L19" s="26">
        <v>0</v>
      </c>
      <c r="M19" s="26">
        <v>0</v>
      </c>
      <c r="N19" s="26">
        <v>0</v>
      </c>
      <c r="O19" s="26">
        <v>0</v>
      </c>
    </row>
    <row r="20" spans="2:15" ht="14.25" customHeight="1" x14ac:dyDescent="0.35">
      <c r="B20">
        <v>1.88</v>
      </c>
      <c r="C20" s="21" t="s">
        <v>32</v>
      </c>
      <c r="D20" s="21" t="s">
        <v>33</v>
      </c>
      <c r="E20" s="21" t="s">
        <v>34</v>
      </c>
      <c r="F20" s="26">
        <v>0.2</v>
      </c>
      <c r="G20" s="26">
        <v>0.35</v>
      </c>
      <c r="H20" s="26">
        <v>0.3</v>
      </c>
      <c r="I20" s="26">
        <v>0.1</v>
      </c>
      <c r="J20" s="26">
        <v>0</v>
      </c>
    </row>
    <row r="21" spans="2:15" s="48" customFormat="1" ht="14.25" customHeight="1" x14ac:dyDescent="0.35">
      <c r="B21" s="48">
        <v>1.77</v>
      </c>
      <c r="C21" s="49" t="s">
        <v>35</v>
      </c>
      <c r="D21" s="49" t="s">
        <v>36</v>
      </c>
      <c r="E21" s="21" t="s">
        <v>34</v>
      </c>
      <c r="F21" s="50"/>
      <c r="G21" s="50">
        <v>0.2</v>
      </c>
      <c r="H21" s="50"/>
      <c r="I21" s="50"/>
      <c r="J21" s="50"/>
    </row>
    <row r="22" spans="2:15" ht="14.25" customHeight="1" x14ac:dyDescent="0.3">
      <c r="B22">
        <v>0.46</v>
      </c>
      <c r="C22" s="51" t="s">
        <v>37</v>
      </c>
      <c r="D22" s="51" t="s">
        <v>38</v>
      </c>
      <c r="E22" s="51" t="s">
        <v>39</v>
      </c>
      <c r="F22" s="26">
        <v>0.45</v>
      </c>
      <c r="G22" s="26">
        <v>0</v>
      </c>
      <c r="H22" s="26"/>
      <c r="I22" s="26"/>
      <c r="J22" s="26"/>
    </row>
    <row r="23" spans="2:15" ht="14.25" customHeight="1" x14ac:dyDescent="0.25"/>
    <row r="24" spans="2:15" ht="14.25" customHeight="1" x14ac:dyDescent="0.35">
      <c r="B24">
        <v>4.4400000000000004</v>
      </c>
      <c r="C24" s="22" t="s">
        <v>40</v>
      </c>
      <c r="D24" s="22" t="s">
        <v>41</v>
      </c>
      <c r="E24" s="22" t="s">
        <v>42</v>
      </c>
      <c r="F24" s="26">
        <f t="shared" ref="F24:J25" si="11">+F58</f>
        <v>0.08</v>
      </c>
      <c r="G24" s="26">
        <f t="shared" si="11"/>
        <v>0.11</v>
      </c>
      <c r="H24" s="26">
        <f t="shared" si="11"/>
        <v>0.1</v>
      </c>
      <c r="I24" s="26">
        <f t="shared" si="11"/>
        <v>0.09</v>
      </c>
      <c r="J24" s="26">
        <f t="shared" si="11"/>
        <v>0.06</v>
      </c>
      <c r="K24" s="26">
        <v>0</v>
      </c>
      <c r="L24" s="26">
        <v>0</v>
      </c>
      <c r="M24" s="26">
        <v>0</v>
      </c>
      <c r="N24" s="26">
        <v>0</v>
      </c>
      <c r="O24" s="26">
        <v>0</v>
      </c>
    </row>
    <row r="25" spans="2:15" ht="14.25" customHeight="1" thickBot="1" x14ac:dyDescent="0.4">
      <c r="B25">
        <v>3.38</v>
      </c>
      <c r="C25" s="22" t="s">
        <v>43</v>
      </c>
      <c r="D25" s="22" t="s">
        <v>44</v>
      </c>
      <c r="E25" s="22" t="s">
        <v>45</v>
      </c>
      <c r="F25" s="26">
        <f t="shared" si="11"/>
        <v>0.02</v>
      </c>
      <c r="G25" s="26">
        <f t="shared" si="11"/>
        <v>0.04</v>
      </c>
      <c r="H25" s="26">
        <f t="shared" si="11"/>
        <v>0.05</v>
      </c>
      <c r="I25" s="26">
        <f t="shared" si="11"/>
        <v>0.06</v>
      </c>
      <c r="J25" s="26">
        <f t="shared" si="11"/>
        <v>0.04</v>
      </c>
      <c r="K25" s="26">
        <v>0</v>
      </c>
      <c r="L25" s="26">
        <v>0</v>
      </c>
      <c r="M25" s="26">
        <v>0</v>
      </c>
      <c r="N25" s="26">
        <v>0</v>
      </c>
      <c r="O25" s="26">
        <v>0</v>
      </c>
    </row>
    <row r="26" spans="2:15" ht="14.25" customHeight="1" thickBot="1" x14ac:dyDescent="0.4">
      <c r="C26" s="11"/>
      <c r="D26" s="12" t="s">
        <v>46</v>
      </c>
      <c r="E26" s="13"/>
      <c r="F26" s="47">
        <f t="shared" ref="F26:O26" si="12">SUM(F17:F25)</f>
        <v>0.75</v>
      </c>
      <c r="G26" s="47">
        <f t="shared" si="12"/>
        <v>0.70000000000000007</v>
      </c>
      <c r="H26" s="47">
        <f t="shared" si="12"/>
        <v>0.6</v>
      </c>
      <c r="I26" s="47">
        <f t="shared" si="12"/>
        <v>0.49999999999999994</v>
      </c>
      <c r="J26" s="47">
        <f t="shared" si="12"/>
        <v>0.35</v>
      </c>
      <c r="K26" s="47">
        <f t="shared" si="12"/>
        <v>0.2</v>
      </c>
      <c r="L26" s="47">
        <f t="shared" si="12"/>
        <v>0.15</v>
      </c>
      <c r="M26" s="47">
        <f t="shared" si="12"/>
        <v>0.1</v>
      </c>
      <c r="N26" s="47">
        <f t="shared" si="12"/>
        <v>0.05</v>
      </c>
      <c r="O26" s="47">
        <f t="shared" si="12"/>
        <v>0</v>
      </c>
    </row>
    <row r="27" spans="2:15" ht="14.25" customHeight="1" x14ac:dyDescent="0.25">
      <c r="E27" s="16" t="s">
        <v>47</v>
      </c>
      <c r="F27" s="46">
        <f t="shared" ref="F27:N27" si="13">+(F17*$B$17+F18*$B$18+F19*$B$19+F20*$B$20+F24*$B$24+F25*$B$25+F22*$B$22+F21*$B$21)/F56</f>
        <v>1.3410666666666666</v>
      </c>
      <c r="G27" s="46">
        <f t="shared" si="13"/>
        <v>2.3365714285714287</v>
      </c>
      <c r="H27" s="46">
        <f t="shared" si="13"/>
        <v>3.3616666666666668</v>
      </c>
      <c r="I27" s="46">
        <f t="shared" si="13"/>
        <v>4.3807999999999998</v>
      </c>
      <c r="J27" s="46">
        <f t="shared" si="13"/>
        <v>5.1474285714285717</v>
      </c>
      <c r="K27" s="46">
        <f t="shared" si="13"/>
        <v>7.23</v>
      </c>
      <c r="L27" s="46">
        <f t="shared" si="13"/>
        <v>7.23</v>
      </c>
      <c r="M27" s="46">
        <f t="shared" si="13"/>
        <v>10.25</v>
      </c>
      <c r="N27" s="46">
        <f t="shared" si="13"/>
        <v>10.25</v>
      </c>
      <c r="O27" s="46">
        <v>0</v>
      </c>
    </row>
    <row r="28" spans="2:15" ht="14.25" customHeight="1" x14ac:dyDescent="0.25"/>
    <row r="29" spans="2:15" ht="14.25" customHeight="1" x14ac:dyDescent="0.35">
      <c r="E29" s="14" t="s">
        <v>48</v>
      </c>
    </row>
    <row r="30" spans="2:15" ht="14.25" customHeight="1" x14ac:dyDescent="0.25"/>
    <row r="31" spans="2:15" ht="14.25" customHeight="1" thickBot="1" x14ac:dyDescent="0.4">
      <c r="D31" s="1"/>
      <c r="E31" s="3" t="s">
        <v>49</v>
      </c>
    </row>
    <row r="32" spans="2:15" ht="14.25" customHeight="1" x14ac:dyDescent="0.35">
      <c r="C32" s="14" t="s">
        <v>50</v>
      </c>
      <c r="D32" s="14" t="s">
        <v>51</v>
      </c>
      <c r="E32" s="14" t="s">
        <v>48</v>
      </c>
      <c r="F32" s="26">
        <f t="shared" ref="F32:O32" si="14">+F40</f>
        <v>0.15</v>
      </c>
      <c r="G32" s="26">
        <f t="shared" si="14"/>
        <v>0.15</v>
      </c>
      <c r="H32" s="26">
        <f t="shared" si="14"/>
        <v>0.15</v>
      </c>
      <c r="I32" s="26">
        <f t="shared" si="14"/>
        <v>0.15</v>
      </c>
      <c r="J32" s="26">
        <f t="shared" si="14"/>
        <v>0.2</v>
      </c>
      <c r="K32" s="26">
        <f t="shared" si="14"/>
        <v>0.2</v>
      </c>
      <c r="L32" s="26">
        <f t="shared" si="14"/>
        <v>0.2</v>
      </c>
      <c r="M32" s="26">
        <f t="shared" si="14"/>
        <v>0.2</v>
      </c>
      <c r="N32" s="26">
        <f t="shared" si="14"/>
        <v>0.2</v>
      </c>
      <c r="O32" s="26" t="str">
        <f t="shared" si="14"/>
        <v>20,0%</v>
      </c>
    </row>
    <row r="33" spans="2:27" ht="14.25" customHeight="1" x14ac:dyDescent="0.25"/>
    <row r="34" spans="2:27" ht="14.25" customHeight="1" x14ac:dyDescent="0.25"/>
    <row r="35" spans="2:27" ht="14.25" customHeight="1" x14ac:dyDescent="0.25"/>
    <row r="36" spans="2:27" ht="14.25" customHeight="1" thickBot="1" x14ac:dyDescent="0.3"/>
    <row r="37" spans="2:27" ht="14.25" customHeight="1" thickBot="1" x14ac:dyDescent="0.4">
      <c r="B37" s="15"/>
      <c r="E37" s="23" t="s">
        <v>52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24" t="s">
        <v>53</v>
      </c>
      <c r="S37" s="15"/>
      <c r="T37" s="15"/>
      <c r="U37" s="15"/>
      <c r="V37" s="15"/>
      <c r="W37" s="15"/>
      <c r="X37" s="15"/>
      <c r="Y37" s="15"/>
      <c r="Z37" s="15"/>
      <c r="AA37" s="15"/>
    </row>
    <row r="38" spans="2:27" ht="14.25" customHeight="1" thickBot="1" x14ac:dyDescent="0.4">
      <c r="B38" s="15"/>
      <c r="E38" s="25" t="s">
        <v>0</v>
      </c>
      <c r="F38" s="27">
        <v>0.1</v>
      </c>
      <c r="G38" s="27">
        <v>0.15</v>
      </c>
      <c r="H38" s="27">
        <v>0.25</v>
      </c>
      <c r="I38" s="27">
        <v>0.35</v>
      </c>
      <c r="J38" s="27">
        <v>0.45</v>
      </c>
      <c r="K38" s="27">
        <v>0.6</v>
      </c>
      <c r="L38" s="27">
        <v>0.65</v>
      </c>
      <c r="M38" s="27">
        <v>0.7</v>
      </c>
      <c r="N38" s="27">
        <v>0.75</v>
      </c>
      <c r="O38" s="27">
        <v>0.8</v>
      </c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2:27" ht="14.25" customHeight="1" thickBot="1" x14ac:dyDescent="0.4">
      <c r="B39" s="15"/>
      <c r="E39" s="28" t="s">
        <v>21</v>
      </c>
      <c r="F39" s="29">
        <v>0.75</v>
      </c>
      <c r="G39" s="29">
        <v>0.7</v>
      </c>
      <c r="H39" s="29">
        <v>0.6</v>
      </c>
      <c r="I39" s="29">
        <v>0.5</v>
      </c>
      <c r="J39" s="29">
        <v>0.35</v>
      </c>
      <c r="K39" s="29">
        <v>0.2</v>
      </c>
      <c r="L39" s="29">
        <v>0.15</v>
      </c>
      <c r="M39" s="29">
        <v>0.1</v>
      </c>
      <c r="N39" s="29">
        <v>0.05</v>
      </c>
      <c r="O39" s="29">
        <v>0</v>
      </c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2:27" ht="14.25" customHeight="1" thickBot="1" x14ac:dyDescent="0.4">
      <c r="B40" s="15"/>
      <c r="E40" s="30" t="s">
        <v>48</v>
      </c>
      <c r="F40" s="31">
        <v>0.15</v>
      </c>
      <c r="G40" s="31">
        <v>0.15</v>
      </c>
      <c r="H40" s="31">
        <v>0.15</v>
      </c>
      <c r="I40" s="31">
        <v>0.15</v>
      </c>
      <c r="J40" s="31">
        <v>0.2</v>
      </c>
      <c r="K40" s="31">
        <v>0.2</v>
      </c>
      <c r="L40" s="31">
        <v>0.2</v>
      </c>
      <c r="M40" s="31">
        <v>0.2</v>
      </c>
      <c r="N40" s="31">
        <v>0.2</v>
      </c>
      <c r="O40" s="32" t="s">
        <v>54</v>
      </c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2:27" ht="14.25" customHeight="1" thickBot="1" x14ac:dyDescent="0.4">
      <c r="B41" s="15"/>
      <c r="E41" s="33" t="s">
        <v>55</v>
      </c>
      <c r="F41" s="34">
        <v>1</v>
      </c>
      <c r="G41" s="34">
        <v>1</v>
      </c>
      <c r="H41" s="34">
        <v>1</v>
      </c>
      <c r="I41" s="34">
        <v>1</v>
      </c>
      <c r="J41" s="34">
        <v>1</v>
      </c>
      <c r="K41" s="34">
        <v>1</v>
      </c>
      <c r="L41" s="34">
        <v>1</v>
      </c>
      <c r="M41" s="34">
        <v>1</v>
      </c>
      <c r="N41" s="34">
        <v>1</v>
      </c>
      <c r="O41" s="34">
        <v>1</v>
      </c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2:27" ht="14.25" customHeight="1" thickBot="1" x14ac:dyDescent="0.4">
      <c r="B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2:27" ht="14.25" customHeight="1" thickBot="1" x14ac:dyDescent="0.4">
      <c r="B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2:27" ht="14.25" customHeight="1" thickBot="1" x14ac:dyDescent="0.4">
      <c r="B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2:27" ht="14.25" customHeight="1" thickBot="1" x14ac:dyDescent="0.4">
      <c r="B45" s="15"/>
      <c r="E45" s="25" t="s">
        <v>0</v>
      </c>
      <c r="F45" s="15"/>
      <c r="G45" s="15"/>
      <c r="H45" s="24" t="s">
        <v>56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2:27" ht="14.25" customHeight="1" thickBot="1" x14ac:dyDescent="0.4">
      <c r="B46" s="15"/>
      <c r="E46" s="35" t="s">
        <v>4</v>
      </c>
      <c r="F46" s="43">
        <v>0.125</v>
      </c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2:27" ht="14.25" customHeight="1" thickBot="1" x14ac:dyDescent="0.4">
      <c r="B47" s="15"/>
      <c r="E47" s="36" t="s">
        <v>7</v>
      </c>
      <c r="F47" s="44">
        <v>0.125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2:27" ht="14.25" customHeight="1" thickBot="1" x14ac:dyDescent="0.4">
      <c r="B48" s="15"/>
      <c r="E48" s="35" t="s">
        <v>10</v>
      </c>
      <c r="F48" s="43">
        <v>0.25</v>
      </c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spans="2:27" ht="14.25" customHeight="1" thickBot="1" x14ac:dyDescent="0.4">
      <c r="B49" s="15"/>
      <c r="E49" s="36" t="s">
        <v>13</v>
      </c>
      <c r="F49" s="44">
        <v>0.25</v>
      </c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2:27" ht="14.25" customHeight="1" thickBot="1" x14ac:dyDescent="0.4">
      <c r="B50" s="15"/>
      <c r="E50" s="35" t="s">
        <v>16</v>
      </c>
      <c r="F50" s="43">
        <v>0.125</v>
      </c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2:27" ht="14.25" customHeight="1" thickBot="1" x14ac:dyDescent="0.4">
      <c r="B51" s="15"/>
      <c r="E51" s="36" t="s">
        <v>19</v>
      </c>
      <c r="F51" s="44">
        <v>0.125</v>
      </c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2:27" ht="14.25" customHeight="1" thickBot="1" x14ac:dyDescent="0.4">
      <c r="B52" s="15"/>
      <c r="E52" s="25" t="s">
        <v>55</v>
      </c>
      <c r="F52" s="27">
        <v>1</v>
      </c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2:27" ht="14.25" customHeight="1" thickBot="1" x14ac:dyDescent="0.4">
      <c r="B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2:27" ht="14.25" customHeight="1" x14ac:dyDescent="0.25"/>
    <row r="55" spans="2:27" ht="14.25" customHeight="1" thickBot="1" x14ac:dyDescent="0.3"/>
    <row r="56" spans="2:27" ht="14.25" customHeight="1" thickBot="1" x14ac:dyDescent="0.4">
      <c r="E56" s="28" t="s">
        <v>57</v>
      </c>
      <c r="F56" s="29">
        <f t="shared" ref="F56:O56" si="15">+F39</f>
        <v>0.75</v>
      </c>
      <c r="G56" s="29">
        <f t="shared" si="15"/>
        <v>0.7</v>
      </c>
      <c r="H56" s="29">
        <f t="shared" si="15"/>
        <v>0.6</v>
      </c>
      <c r="I56" s="29">
        <f t="shared" si="15"/>
        <v>0.5</v>
      </c>
      <c r="J56" s="29">
        <f t="shared" si="15"/>
        <v>0.35</v>
      </c>
      <c r="K56" s="29">
        <f t="shared" si="15"/>
        <v>0.2</v>
      </c>
      <c r="L56" s="29">
        <f t="shared" si="15"/>
        <v>0.15</v>
      </c>
      <c r="M56" s="29">
        <f t="shared" si="15"/>
        <v>0.1</v>
      </c>
      <c r="N56" s="29">
        <f t="shared" si="15"/>
        <v>0.05</v>
      </c>
      <c r="O56" s="29">
        <f t="shared" si="15"/>
        <v>0</v>
      </c>
    </row>
    <row r="57" spans="2:27" ht="14.25" customHeight="1" thickBot="1" x14ac:dyDescent="0.4">
      <c r="E57" s="37" t="s">
        <v>23</v>
      </c>
      <c r="F57" s="38">
        <v>0.65</v>
      </c>
      <c r="G57" s="38">
        <v>0.55000000000000004</v>
      </c>
      <c r="H57" s="38">
        <v>0.45</v>
      </c>
      <c r="I57" s="38">
        <v>0.35</v>
      </c>
      <c r="J57" s="38">
        <v>0.25</v>
      </c>
      <c r="K57" s="38">
        <v>0.2</v>
      </c>
      <c r="L57" s="38">
        <v>0.15</v>
      </c>
      <c r="M57" s="38">
        <v>0.1</v>
      </c>
      <c r="N57" s="38">
        <v>0.05</v>
      </c>
      <c r="O57" s="38">
        <v>0</v>
      </c>
    </row>
    <row r="58" spans="2:27" ht="14.25" customHeight="1" thickBot="1" x14ac:dyDescent="0.4">
      <c r="E58" s="39" t="s">
        <v>42</v>
      </c>
      <c r="F58" s="40">
        <v>0.08</v>
      </c>
      <c r="G58" s="40">
        <v>0.11</v>
      </c>
      <c r="H58" s="40">
        <v>0.1</v>
      </c>
      <c r="I58" s="40">
        <v>0.09</v>
      </c>
      <c r="J58" s="40">
        <v>0.06</v>
      </c>
      <c r="K58" s="40">
        <v>0</v>
      </c>
      <c r="L58" s="40">
        <v>0</v>
      </c>
      <c r="M58" s="40">
        <v>0</v>
      </c>
      <c r="N58" s="40">
        <v>0</v>
      </c>
      <c r="O58" s="40">
        <v>0</v>
      </c>
    </row>
    <row r="59" spans="2:27" ht="14.25" customHeight="1" thickBot="1" x14ac:dyDescent="0.4">
      <c r="E59" s="41" t="s">
        <v>58</v>
      </c>
      <c r="F59" s="42">
        <v>0.02</v>
      </c>
      <c r="G59" s="42">
        <v>0.04</v>
      </c>
      <c r="H59" s="42">
        <v>0.05</v>
      </c>
      <c r="I59" s="42">
        <v>0.06</v>
      </c>
      <c r="J59" s="42">
        <v>0.04</v>
      </c>
      <c r="K59" s="42">
        <v>0</v>
      </c>
      <c r="L59" s="42">
        <v>0</v>
      </c>
      <c r="M59" s="42">
        <v>0</v>
      </c>
      <c r="N59" s="42">
        <v>0</v>
      </c>
      <c r="O59" s="42">
        <v>0</v>
      </c>
    </row>
    <row r="60" spans="2:27" ht="14.25" customHeight="1" x14ac:dyDescent="0.25"/>
    <row r="61" spans="2:27" ht="14.25" customHeight="1" x14ac:dyDescent="0.25"/>
    <row r="62" spans="2:27" ht="14.25" customHeight="1" x14ac:dyDescent="0.25"/>
    <row r="63" spans="2:27" ht="14.25" customHeight="1" x14ac:dyDescent="0.25"/>
    <row r="64" spans="2:27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3"/>
  <sheetViews>
    <sheetView workbookViewId="0"/>
  </sheetViews>
  <sheetFormatPr baseColWidth="10" defaultColWidth="8.7265625" defaultRowHeight="12.5" x14ac:dyDescent="0.25"/>
  <cols>
    <col min="1" max="1" width="15" customWidth="1"/>
    <col min="2" max="2" width="55" customWidth="1"/>
    <col min="3" max="3" width="18" customWidth="1"/>
    <col min="4" max="4" width="10" customWidth="1"/>
    <col min="5" max="5" width="8" customWidth="1"/>
  </cols>
  <sheetData>
    <row r="1" spans="1:15" ht="18" x14ac:dyDescent="0.4">
      <c r="A1" s="52" t="s">
        <v>59</v>
      </c>
    </row>
    <row r="3" spans="1:15" ht="13" x14ac:dyDescent="0.3">
      <c r="A3" s="53" t="s">
        <v>1</v>
      </c>
      <c r="B3" s="53" t="s">
        <v>60</v>
      </c>
      <c r="C3" s="53" t="s">
        <v>22</v>
      </c>
      <c r="D3" s="53" t="s">
        <v>61</v>
      </c>
      <c r="E3" s="53" t="s">
        <v>62</v>
      </c>
      <c r="F3" s="53" t="s">
        <v>63</v>
      </c>
      <c r="G3" s="53" t="s">
        <v>64</v>
      </c>
      <c r="H3" s="53" t="s">
        <v>65</v>
      </c>
      <c r="I3" s="53" t="s">
        <v>66</v>
      </c>
      <c r="J3" s="53" t="s">
        <v>67</v>
      </c>
      <c r="K3" s="53" t="s">
        <v>68</v>
      </c>
      <c r="L3" s="53" t="s">
        <v>69</v>
      </c>
      <c r="M3" s="53" t="s">
        <v>70</v>
      </c>
      <c r="N3" s="53" t="s">
        <v>71</v>
      </c>
      <c r="O3" s="53" t="s">
        <v>72</v>
      </c>
    </row>
    <row r="4" spans="1:15" x14ac:dyDescent="0.25">
      <c r="A4" s="54" t="s">
        <v>2</v>
      </c>
      <c r="B4" s="54" t="s">
        <v>3</v>
      </c>
      <c r="C4" s="54" t="s">
        <v>4</v>
      </c>
      <c r="D4" s="54" t="s">
        <v>73</v>
      </c>
      <c r="E4" s="55">
        <v>2.5000000000000001E-3</v>
      </c>
      <c r="F4" s="55">
        <v>1.2500000000000001E-2</v>
      </c>
      <c r="G4" s="55">
        <v>1.8749999999999999E-2</v>
      </c>
      <c r="H4" s="55">
        <v>3.125E-2</v>
      </c>
      <c r="I4" s="55">
        <v>4.3749999999999997E-2</v>
      </c>
      <c r="J4" s="55">
        <v>5.6250000000000001E-2</v>
      </c>
      <c r="K4" s="55">
        <v>7.4999999999999997E-2</v>
      </c>
      <c r="L4" s="55">
        <v>8.1250000000000003E-2</v>
      </c>
      <c r="M4" s="55">
        <v>8.7499999999999994E-2</v>
      </c>
      <c r="N4" s="55">
        <v>9.375E-2</v>
      </c>
      <c r="O4" s="55">
        <v>0.1</v>
      </c>
    </row>
    <row r="5" spans="1:15" x14ac:dyDescent="0.25">
      <c r="A5" s="54" t="s">
        <v>5</v>
      </c>
      <c r="B5" s="54" t="s">
        <v>6</v>
      </c>
      <c r="C5" s="54" t="s">
        <v>7</v>
      </c>
      <c r="D5" s="54" t="s">
        <v>73</v>
      </c>
      <c r="E5" s="55">
        <v>2.5000000000000001E-3</v>
      </c>
      <c r="F5" s="55">
        <v>1.2500000000000001E-2</v>
      </c>
      <c r="G5" s="55">
        <v>1.8749999999999999E-2</v>
      </c>
      <c r="H5" s="55">
        <v>3.125E-2</v>
      </c>
      <c r="I5" s="55">
        <v>4.3749999999999997E-2</v>
      </c>
      <c r="J5" s="55">
        <v>5.6250000000000001E-2</v>
      </c>
      <c r="K5" s="55">
        <v>7.4999999999999997E-2</v>
      </c>
      <c r="L5" s="55">
        <v>8.1250000000000003E-2</v>
      </c>
      <c r="M5" s="55">
        <v>8.7499999999999994E-2</v>
      </c>
      <c r="N5" s="55">
        <v>9.375E-2</v>
      </c>
      <c r="O5" s="55">
        <v>0.1</v>
      </c>
    </row>
    <row r="6" spans="1:15" x14ac:dyDescent="0.25">
      <c r="A6" s="54" t="s">
        <v>8</v>
      </c>
      <c r="B6" s="54" t="s">
        <v>9</v>
      </c>
      <c r="C6" s="54" t="s">
        <v>10</v>
      </c>
      <c r="D6" s="54" t="s">
        <v>73</v>
      </c>
      <c r="E6" s="55">
        <v>2.5000000000000001E-3</v>
      </c>
      <c r="F6" s="55">
        <v>2.5000000000000001E-2</v>
      </c>
      <c r="G6" s="55">
        <v>3.7499999999999999E-2</v>
      </c>
      <c r="H6" s="55">
        <v>6.25E-2</v>
      </c>
      <c r="I6" s="55">
        <v>8.7499999999999994E-2</v>
      </c>
      <c r="J6" s="55">
        <v>0.1125</v>
      </c>
      <c r="K6" s="55">
        <v>0.15</v>
      </c>
      <c r="L6" s="55">
        <v>0.16250000000000001</v>
      </c>
      <c r="M6" s="55">
        <v>0.17499999999999999</v>
      </c>
      <c r="N6" s="55">
        <v>0.1875</v>
      </c>
      <c r="O6" s="55">
        <v>0.2</v>
      </c>
    </row>
    <row r="7" spans="1:15" x14ac:dyDescent="0.25">
      <c r="A7" s="54" t="s">
        <v>11</v>
      </c>
      <c r="B7" s="54" t="s">
        <v>12</v>
      </c>
      <c r="C7" s="54" t="s">
        <v>13</v>
      </c>
      <c r="D7" s="54" t="s">
        <v>73</v>
      </c>
      <c r="E7" s="55">
        <v>2.5000000000000001E-3</v>
      </c>
      <c r="F7" s="55">
        <v>2.5000000000000001E-2</v>
      </c>
      <c r="G7" s="55">
        <v>3.7499999999999999E-2</v>
      </c>
      <c r="H7" s="55">
        <v>6.25E-2</v>
      </c>
      <c r="I7" s="55">
        <v>8.7499999999999994E-2</v>
      </c>
      <c r="J7" s="55">
        <v>0.1125</v>
      </c>
      <c r="K7" s="55">
        <v>0.15</v>
      </c>
      <c r="L7" s="55">
        <v>0.16250000000000001</v>
      </c>
      <c r="M7" s="55">
        <v>0.17499999999999999</v>
      </c>
      <c r="N7" s="55">
        <v>0.1875</v>
      </c>
      <c r="O7" s="55">
        <v>0.2</v>
      </c>
    </row>
    <row r="8" spans="1:15" x14ac:dyDescent="0.25">
      <c r="A8" s="54" t="s">
        <v>14</v>
      </c>
      <c r="B8" s="54" t="s">
        <v>15</v>
      </c>
      <c r="C8" s="54" t="s">
        <v>16</v>
      </c>
      <c r="D8" s="54" t="s">
        <v>73</v>
      </c>
      <c r="E8" s="55">
        <v>2.5000000000000001E-3</v>
      </c>
      <c r="F8" s="55">
        <v>1.2500000000000001E-2</v>
      </c>
      <c r="G8" s="55">
        <v>1.8749999999999999E-2</v>
      </c>
      <c r="H8" s="55">
        <v>3.125E-2</v>
      </c>
      <c r="I8" s="55">
        <v>4.3749999999999997E-2</v>
      </c>
      <c r="J8" s="55">
        <v>5.6250000000000001E-2</v>
      </c>
      <c r="K8" s="55">
        <v>7.4999999999999997E-2</v>
      </c>
      <c r="L8" s="55">
        <v>8.1250000000000003E-2</v>
      </c>
      <c r="M8" s="55">
        <v>8.7499999999999994E-2</v>
      </c>
      <c r="N8" s="55">
        <v>9.375E-2</v>
      </c>
      <c r="O8" s="55">
        <v>0.1</v>
      </c>
    </row>
    <row r="9" spans="1:15" x14ac:dyDescent="0.25">
      <c r="A9" s="54" t="s">
        <v>17</v>
      </c>
      <c r="B9" s="54" t="s">
        <v>18</v>
      </c>
      <c r="C9" s="54" t="s">
        <v>19</v>
      </c>
      <c r="D9" s="54" t="s">
        <v>73</v>
      </c>
      <c r="E9" s="55">
        <v>2.3999999999999998E-3</v>
      </c>
      <c r="F9" s="55">
        <v>1.2500000000000001E-2</v>
      </c>
      <c r="G9" s="55">
        <v>1.8749999999999999E-2</v>
      </c>
      <c r="H9" s="55">
        <v>3.125E-2</v>
      </c>
      <c r="I9" s="55">
        <v>4.3749999999999997E-2</v>
      </c>
      <c r="J9" s="55">
        <v>5.6250000000000001E-2</v>
      </c>
      <c r="K9" s="55">
        <v>7.4999999999999997E-2</v>
      </c>
      <c r="L9" s="55">
        <v>8.1250000000000003E-2</v>
      </c>
      <c r="M9" s="55">
        <v>8.7499999999999994E-2</v>
      </c>
      <c r="N9" s="55">
        <v>9.375E-2</v>
      </c>
      <c r="O9" s="55">
        <v>0.1</v>
      </c>
    </row>
    <row r="10" spans="1:15" x14ac:dyDescent="0.25">
      <c r="A10" s="54" t="s">
        <v>24</v>
      </c>
      <c r="B10" s="54" t="s">
        <v>25</v>
      </c>
      <c r="C10" s="54" t="s">
        <v>26</v>
      </c>
      <c r="D10" s="54" t="s">
        <v>74</v>
      </c>
      <c r="E10" s="55">
        <v>1.5E-3</v>
      </c>
      <c r="F10" s="55">
        <v>0</v>
      </c>
      <c r="G10" s="55">
        <v>0</v>
      </c>
      <c r="H10" s="55">
        <v>0</v>
      </c>
      <c r="I10" s="55">
        <v>0</v>
      </c>
      <c r="J10" s="55">
        <v>0</v>
      </c>
      <c r="K10" s="55">
        <v>0</v>
      </c>
      <c r="L10" s="55">
        <v>0</v>
      </c>
      <c r="M10" s="55">
        <v>0.1</v>
      </c>
      <c r="N10" s="55">
        <v>0.05</v>
      </c>
      <c r="O10" s="55">
        <v>0</v>
      </c>
    </row>
    <row r="11" spans="1:15" x14ac:dyDescent="0.25">
      <c r="A11" s="54" t="s">
        <v>27</v>
      </c>
      <c r="B11" s="54" t="s">
        <v>28</v>
      </c>
      <c r="C11" s="54" t="s">
        <v>29</v>
      </c>
      <c r="D11" s="54" t="s">
        <v>74</v>
      </c>
      <c r="E11" s="55">
        <v>1.5E-3</v>
      </c>
      <c r="F11" s="55">
        <v>0</v>
      </c>
      <c r="G11" s="55">
        <v>0</v>
      </c>
      <c r="H11" s="55">
        <v>0</v>
      </c>
      <c r="I11" s="55">
        <v>0</v>
      </c>
      <c r="J11" s="55">
        <v>0</v>
      </c>
      <c r="K11" s="55">
        <v>0.2</v>
      </c>
      <c r="L11" s="55">
        <v>0.15</v>
      </c>
      <c r="M11" s="55">
        <v>0</v>
      </c>
      <c r="N11" s="55">
        <v>0</v>
      </c>
      <c r="O11" s="55">
        <v>0</v>
      </c>
    </row>
    <row r="12" spans="1:15" x14ac:dyDescent="0.25">
      <c r="A12" s="54" t="s">
        <v>30</v>
      </c>
      <c r="B12" s="54" t="s">
        <v>31</v>
      </c>
      <c r="C12" s="54" t="s">
        <v>29</v>
      </c>
      <c r="D12" s="54" t="s">
        <v>74</v>
      </c>
      <c r="E12" s="55">
        <v>1.5E-3</v>
      </c>
      <c r="F12" s="55">
        <v>0</v>
      </c>
      <c r="G12" s="55">
        <v>0</v>
      </c>
      <c r="H12" s="55">
        <v>0.15</v>
      </c>
      <c r="I12" s="55">
        <v>0.25</v>
      </c>
      <c r="J12" s="55">
        <v>0.25</v>
      </c>
      <c r="K12" s="55">
        <v>0</v>
      </c>
      <c r="L12" s="55">
        <v>0</v>
      </c>
      <c r="M12" s="55">
        <v>0</v>
      </c>
      <c r="N12" s="55">
        <v>0</v>
      </c>
      <c r="O12" s="55">
        <v>0</v>
      </c>
    </row>
    <row r="13" spans="1:15" x14ac:dyDescent="0.25">
      <c r="A13" s="54" t="s">
        <v>32</v>
      </c>
      <c r="B13" s="54" t="s">
        <v>33</v>
      </c>
      <c r="C13" s="54" t="s">
        <v>34</v>
      </c>
      <c r="D13" s="54" t="s">
        <v>74</v>
      </c>
      <c r="E13" s="55">
        <v>1E-3</v>
      </c>
      <c r="F13" s="55">
        <v>0.2</v>
      </c>
      <c r="G13" s="55">
        <v>0.35</v>
      </c>
      <c r="H13" s="55">
        <v>0.3</v>
      </c>
      <c r="I13" s="55">
        <v>0.1</v>
      </c>
      <c r="J13" s="55">
        <v>0</v>
      </c>
      <c r="K13" s="55">
        <v>0</v>
      </c>
      <c r="L13" s="55">
        <v>0</v>
      </c>
      <c r="M13" s="55">
        <v>0</v>
      </c>
      <c r="N13" s="55">
        <v>0</v>
      </c>
      <c r="O13" s="55">
        <v>0</v>
      </c>
    </row>
    <row r="14" spans="1:15" x14ac:dyDescent="0.25">
      <c r="A14" s="54" t="s">
        <v>35</v>
      </c>
      <c r="B14" s="54" t="s">
        <v>36</v>
      </c>
      <c r="C14" s="54" t="s">
        <v>34</v>
      </c>
      <c r="D14" s="54" t="s">
        <v>74</v>
      </c>
      <c r="E14" s="55">
        <v>1.5E-3</v>
      </c>
      <c r="F14" s="55">
        <v>0</v>
      </c>
      <c r="G14" s="55">
        <v>0.2</v>
      </c>
      <c r="H14" s="55">
        <v>0</v>
      </c>
      <c r="I14" s="55">
        <v>0</v>
      </c>
      <c r="J14" s="55">
        <v>0</v>
      </c>
      <c r="K14" s="55">
        <v>0</v>
      </c>
      <c r="L14" s="55">
        <v>0</v>
      </c>
      <c r="M14" s="55">
        <v>0</v>
      </c>
      <c r="N14" s="55">
        <v>0</v>
      </c>
      <c r="O14" s="55">
        <v>0</v>
      </c>
    </row>
    <row r="15" spans="1:15" x14ac:dyDescent="0.25">
      <c r="A15" s="54" t="s">
        <v>37</v>
      </c>
      <c r="B15" s="54" t="s">
        <v>38</v>
      </c>
      <c r="C15" s="54" t="s">
        <v>39</v>
      </c>
      <c r="D15" s="54" t="s">
        <v>74</v>
      </c>
      <c r="E15" s="55">
        <v>5.0000000000000001E-4</v>
      </c>
      <c r="F15" s="55">
        <v>0.45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0</v>
      </c>
      <c r="O15" s="55">
        <v>0</v>
      </c>
    </row>
    <row r="16" spans="1:15" x14ac:dyDescent="0.25">
      <c r="A16" s="54" t="s">
        <v>40</v>
      </c>
      <c r="B16" s="54" t="s">
        <v>41</v>
      </c>
      <c r="C16" s="54" t="s">
        <v>42</v>
      </c>
      <c r="D16" s="54" t="s">
        <v>74</v>
      </c>
      <c r="E16" s="55">
        <v>7.000000000000001E-4</v>
      </c>
      <c r="F16" s="55">
        <v>0.08</v>
      </c>
      <c r="G16" s="55">
        <v>0.11</v>
      </c>
      <c r="H16" s="55">
        <v>0.1</v>
      </c>
      <c r="I16" s="55">
        <v>0.09</v>
      </c>
      <c r="J16" s="55">
        <v>0.06</v>
      </c>
      <c r="K16" s="55">
        <v>0</v>
      </c>
      <c r="L16" s="55">
        <v>0</v>
      </c>
      <c r="M16" s="55">
        <v>0</v>
      </c>
      <c r="N16" s="55">
        <v>0</v>
      </c>
      <c r="O16" s="55">
        <v>0</v>
      </c>
    </row>
    <row r="17" spans="1:15" x14ac:dyDescent="0.25">
      <c r="A17" s="54" t="s">
        <v>43</v>
      </c>
      <c r="B17" s="54" t="s">
        <v>44</v>
      </c>
      <c r="C17" s="54" t="s">
        <v>45</v>
      </c>
      <c r="D17" s="54" t="s">
        <v>74</v>
      </c>
      <c r="E17" s="55">
        <v>2.5000000000000001E-3</v>
      </c>
      <c r="F17" s="55">
        <v>0.02</v>
      </c>
      <c r="G17" s="55">
        <v>0.04</v>
      </c>
      <c r="H17" s="55">
        <v>0.05</v>
      </c>
      <c r="I17" s="55">
        <v>0.06</v>
      </c>
      <c r="J17" s="55">
        <v>0.04</v>
      </c>
      <c r="K17" s="55">
        <v>0</v>
      </c>
      <c r="L17" s="55">
        <v>0</v>
      </c>
      <c r="M17" s="55">
        <v>0</v>
      </c>
      <c r="N17" s="55">
        <v>0</v>
      </c>
      <c r="O17" s="55">
        <v>0</v>
      </c>
    </row>
    <row r="18" spans="1:15" x14ac:dyDescent="0.25">
      <c r="A18" s="54" t="s">
        <v>50</v>
      </c>
      <c r="B18" s="54" t="s">
        <v>51</v>
      </c>
      <c r="C18" s="54" t="s">
        <v>48</v>
      </c>
      <c r="D18" s="54" t="s">
        <v>48</v>
      </c>
      <c r="E18" s="55">
        <v>1.1999999999999999E-3</v>
      </c>
      <c r="F18" s="55">
        <v>0.15</v>
      </c>
      <c r="G18" s="55">
        <v>0.15</v>
      </c>
      <c r="H18" s="55">
        <v>0.15</v>
      </c>
      <c r="I18" s="55">
        <v>0.15</v>
      </c>
      <c r="J18" s="55">
        <v>0.2</v>
      </c>
      <c r="K18" s="55">
        <v>0.2</v>
      </c>
      <c r="L18" s="55">
        <v>0.2</v>
      </c>
      <c r="M18" s="55">
        <v>0.2</v>
      </c>
      <c r="N18" s="55">
        <v>0.2</v>
      </c>
      <c r="O18" s="55">
        <v>0.2</v>
      </c>
    </row>
    <row r="21" spans="1:15" ht="18" x14ac:dyDescent="0.4">
      <c r="A21" s="52" t="s">
        <v>75</v>
      </c>
    </row>
    <row r="23" spans="1:15" ht="13" x14ac:dyDescent="0.3">
      <c r="A23" s="56" t="s">
        <v>76</v>
      </c>
      <c r="B23" s="56" t="s">
        <v>77</v>
      </c>
    </row>
    <row r="24" spans="1:15" x14ac:dyDescent="0.25">
      <c r="A24" s="54" t="s">
        <v>78</v>
      </c>
      <c r="B24" s="57">
        <v>9.597500000000001E-4</v>
      </c>
    </row>
    <row r="25" spans="1:15" x14ac:dyDescent="0.25">
      <c r="A25" s="54" t="s">
        <v>79</v>
      </c>
      <c r="B25" s="57">
        <v>1.3801250000000001E-3</v>
      </c>
    </row>
    <row r="26" spans="1:15" x14ac:dyDescent="0.25">
      <c r="A26" s="54" t="s">
        <v>80</v>
      </c>
      <c r="B26" s="57">
        <v>1.521875E-3</v>
      </c>
    </row>
    <row r="27" spans="1:15" x14ac:dyDescent="0.25">
      <c r="A27" s="54" t="s">
        <v>81</v>
      </c>
      <c r="B27" s="57">
        <v>1.7386249999999999E-3</v>
      </c>
    </row>
    <row r="28" spans="1:15" x14ac:dyDescent="0.25">
      <c r="A28" s="54" t="s">
        <v>82</v>
      </c>
      <c r="B28" s="57">
        <v>1.876375E-3</v>
      </c>
    </row>
    <row r="29" spans="1:15" x14ac:dyDescent="0.25">
      <c r="A29" s="54" t="s">
        <v>83</v>
      </c>
      <c r="B29" s="57">
        <v>2.0325E-3</v>
      </c>
    </row>
    <row r="30" spans="1:15" x14ac:dyDescent="0.25">
      <c r="A30" s="54" t="s">
        <v>84</v>
      </c>
      <c r="B30" s="57">
        <v>2.081875E-3</v>
      </c>
    </row>
    <row r="31" spans="1:15" x14ac:dyDescent="0.25">
      <c r="A31" s="54" t="s">
        <v>85</v>
      </c>
      <c r="B31" s="57">
        <v>2.131249999999999E-3</v>
      </c>
    </row>
    <row r="32" spans="1:15" x14ac:dyDescent="0.25">
      <c r="A32" s="54" t="s">
        <v>86</v>
      </c>
      <c r="B32" s="57">
        <v>2.1806249999999998E-3</v>
      </c>
    </row>
    <row r="33" spans="1:2" x14ac:dyDescent="0.25">
      <c r="A33" s="54" t="s">
        <v>87</v>
      </c>
      <c r="B33" s="57">
        <v>2.2300000000000002E-3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9"/>
  <sheetViews>
    <sheetView workbookViewId="0"/>
  </sheetViews>
  <sheetFormatPr baseColWidth="10" defaultColWidth="8.7265625" defaultRowHeight="12.5" x14ac:dyDescent="0.25"/>
  <cols>
    <col min="1" max="1" width="20" customWidth="1"/>
    <col min="2" max="11" width="7" customWidth="1"/>
  </cols>
  <sheetData>
    <row r="1" spans="1:11" ht="18" x14ac:dyDescent="0.4">
      <c r="A1" s="52" t="s">
        <v>88</v>
      </c>
    </row>
    <row r="3" spans="1:11" ht="13" x14ac:dyDescent="0.3">
      <c r="A3" s="53" t="s">
        <v>89</v>
      </c>
      <c r="B3" s="53" t="s">
        <v>63</v>
      </c>
      <c r="C3" s="53" t="s">
        <v>64</v>
      </c>
      <c r="D3" s="53" t="s">
        <v>65</v>
      </c>
      <c r="E3" s="53" t="s">
        <v>66</v>
      </c>
      <c r="F3" s="53" t="s">
        <v>67</v>
      </c>
      <c r="G3" s="53" t="s">
        <v>68</v>
      </c>
      <c r="H3" s="53" t="s">
        <v>69</v>
      </c>
      <c r="I3" s="53" t="s">
        <v>70</v>
      </c>
      <c r="J3" s="53" t="s">
        <v>71</v>
      </c>
      <c r="K3" s="53" t="s">
        <v>72</v>
      </c>
    </row>
    <row r="4" spans="1:11" x14ac:dyDescent="0.25">
      <c r="A4" s="54" t="s">
        <v>90</v>
      </c>
      <c r="B4" s="58">
        <v>0.67</v>
      </c>
      <c r="C4" s="58">
        <v>0.67000000000000015</v>
      </c>
      <c r="D4" s="58">
        <v>0.67</v>
      </c>
      <c r="E4" s="58">
        <v>0.67</v>
      </c>
      <c r="F4" s="58">
        <v>0.66999999999999993</v>
      </c>
      <c r="G4" s="58">
        <v>0.67000000000000015</v>
      </c>
      <c r="H4" s="58">
        <v>0.66999999999999982</v>
      </c>
      <c r="I4" s="58">
        <v>0.67</v>
      </c>
      <c r="J4" s="58">
        <v>0.67</v>
      </c>
      <c r="K4" s="58">
        <v>0.67</v>
      </c>
    </row>
    <row r="5" spans="1:11" x14ac:dyDescent="0.25">
      <c r="A5" s="54" t="s">
        <v>91</v>
      </c>
      <c r="B5" s="58">
        <v>0.16625000000000001</v>
      </c>
      <c r="C5" s="58">
        <v>0.16625000000000001</v>
      </c>
      <c r="D5" s="58">
        <v>0.16625000000000001</v>
      </c>
      <c r="E5" s="58">
        <v>0.16625000000000001</v>
      </c>
      <c r="F5" s="58">
        <v>0.16625000000000001</v>
      </c>
      <c r="G5" s="58">
        <v>0.16625000000000001</v>
      </c>
      <c r="H5" s="58">
        <v>0.16625000000000001</v>
      </c>
      <c r="I5" s="58">
        <v>0.16625000000000001</v>
      </c>
      <c r="J5" s="58">
        <v>0.16625000000000001</v>
      </c>
      <c r="K5" s="58">
        <v>0.16625000000000001</v>
      </c>
    </row>
    <row r="6" spans="1:11" x14ac:dyDescent="0.25">
      <c r="A6" s="54" t="s">
        <v>92</v>
      </c>
      <c r="B6" s="58">
        <v>5.6250000000000001E-2</v>
      </c>
      <c r="C6" s="58">
        <v>5.6250000000000022E-2</v>
      </c>
      <c r="D6" s="58">
        <v>5.6250000000000001E-2</v>
      </c>
      <c r="E6" s="58">
        <v>5.6250000000000001E-2</v>
      </c>
      <c r="F6" s="58">
        <v>5.6249999999999988E-2</v>
      </c>
      <c r="G6" s="58">
        <v>5.6250000000000022E-2</v>
      </c>
      <c r="H6" s="58">
        <v>5.6249999999999988E-2</v>
      </c>
      <c r="I6" s="58">
        <v>5.6250000000000001E-2</v>
      </c>
      <c r="J6" s="58">
        <v>5.6250000000000001E-2</v>
      </c>
      <c r="K6" s="58">
        <v>5.6250000000000001E-2</v>
      </c>
    </row>
    <row r="7" spans="1:11" x14ac:dyDescent="0.25">
      <c r="A7" s="54" t="s">
        <v>93</v>
      </c>
      <c r="B7" s="58">
        <v>0.1075</v>
      </c>
      <c r="C7" s="58">
        <v>0.1075</v>
      </c>
      <c r="D7" s="58">
        <v>0.1075</v>
      </c>
      <c r="E7" s="58">
        <v>0.1075</v>
      </c>
      <c r="F7" s="58">
        <v>0.1075</v>
      </c>
      <c r="G7" s="58">
        <v>0.1075</v>
      </c>
      <c r="H7" s="58">
        <v>0.1075</v>
      </c>
      <c r="I7" s="58">
        <v>0.1075</v>
      </c>
      <c r="J7" s="58">
        <v>0.1075</v>
      </c>
      <c r="K7" s="58">
        <v>0.1075</v>
      </c>
    </row>
    <row r="10" spans="1:11" ht="18" x14ac:dyDescent="0.4">
      <c r="A10" s="52" t="s">
        <v>94</v>
      </c>
    </row>
    <row r="12" spans="1:11" ht="13" x14ac:dyDescent="0.3">
      <c r="A12" s="53" t="s">
        <v>89</v>
      </c>
      <c r="B12" s="53" t="s">
        <v>63</v>
      </c>
      <c r="C12" s="53" t="s">
        <v>64</v>
      </c>
      <c r="D12" s="53" t="s">
        <v>65</v>
      </c>
      <c r="E12" s="53" t="s">
        <v>66</v>
      </c>
      <c r="F12" s="53" t="s">
        <v>67</v>
      </c>
      <c r="G12" s="53" t="s">
        <v>68</v>
      </c>
      <c r="H12" s="53" t="s">
        <v>69</v>
      </c>
      <c r="I12" s="53" t="s">
        <v>70</v>
      </c>
      <c r="J12" s="53" t="s">
        <v>71</v>
      </c>
      <c r="K12" s="53" t="s">
        <v>72</v>
      </c>
    </row>
    <row r="13" spans="1:11" x14ac:dyDescent="0.25">
      <c r="A13" s="54" t="s">
        <v>95</v>
      </c>
      <c r="B13" s="58">
        <v>0.73333333333333339</v>
      </c>
      <c r="C13" s="58">
        <v>0.49999999999999989</v>
      </c>
      <c r="D13" s="58">
        <v>0.5</v>
      </c>
      <c r="E13" s="58">
        <v>0.8</v>
      </c>
      <c r="F13" s="58">
        <v>1</v>
      </c>
      <c r="G13" s="58">
        <v>1</v>
      </c>
      <c r="H13" s="58">
        <v>1</v>
      </c>
      <c r="I13" s="58">
        <v>1</v>
      </c>
      <c r="J13" s="58">
        <v>1</v>
      </c>
      <c r="K13" s="58">
        <v>0</v>
      </c>
    </row>
    <row r="14" spans="1:11" x14ac:dyDescent="0.25">
      <c r="A14" s="54" t="s">
        <v>90</v>
      </c>
      <c r="B14" s="58">
        <v>0.26666666666666672</v>
      </c>
      <c r="C14" s="58">
        <v>0.49999999999999989</v>
      </c>
      <c r="D14" s="58">
        <v>0.5</v>
      </c>
      <c r="E14" s="58">
        <v>0.2</v>
      </c>
      <c r="F14" s="58">
        <v>0</v>
      </c>
      <c r="G14" s="58">
        <v>0</v>
      </c>
      <c r="H14" s="58">
        <v>0</v>
      </c>
      <c r="I14" s="58">
        <v>0</v>
      </c>
      <c r="J14" s="58">
        <v>0</v>
      </c>
      <c r="K14" s="58">
        <v>0</v>
      </c>
    </row>
    <row r="17" spans="1:11" ht="18" x14ac:dyDescent="0.4">
      <c r="A17" s="52" t="s">
        <v>96</v>
      </c>
    </row>
    <row r="19" spans="1:11" ht="13" x14ac:dyDescent="0.3">
      <c r="A19" s="53" t="s">
        <v>97</v>
      </c>
      <c r="B19" s="53" t="s">
        <v>63</v>
      </c>
      <c r="C19" s="53" t="s">
        <v>64</v>
      </c>
      <c r="D19" s="53" t="s">
        <v>65</v>
      </c>
      <c r="E19" s="53" t="s">
        <v>66</v>
      </c>
      <c r="F19" s="53" t="s">
        <v>67</v>
      </c>
      <c r="G19" s="53" t="s">
        <v>68</v>
      </c>
      <c r="H19" s="53" t="s">
        <v>69</v>
      </c>
      <c r="I19" s="53" t="s">
        <v>70</v>
      </c>
      <c r="J19" s="53" t="s">
        <v>71</v>
      </c>
      <c r="K19" s="53" t="s">
        <v>72</v>
      </c>
    </row>
    <row r="20" spans="1:11" x14ac:dyDescent="0.25">
      <c r="A20" s="54" t="s">
        <v>98</v>
      </c>
      <c r="B20" s="59">
        <v>1.341066666666666</v>
      </c>
      <c r="C20" s="59">
        <v>2.3365714285714279</v>
      </c>
      <c r="D20" s="59">
        <v>3.3616666666666668</v>
      </c>
      <c r="E20" s="59">
        <v>4.3808000000000007</v>
      </c>
      <c r="F20" s="59">
        <v>5.1474285714285717</v>
      </c>
      <c r="G20" s="59">
        <v>7.23</v>
      </c>
      <c r="H20" s="59">
        <v>7.23</v>
      </c>
      <c r="I20" s="59">
        <v>10.25</v>
      </c>
      <c r="J20" s="59">
        <v>10.25</v>
      </c>
      <c r="K20" s="59">
        <v>0</v>
      </c>
    </row>
    <row r="22" spans="1:11" ht="18" x14ac:dyDescent="0.4">
      <c r="A22" s="52" t="s">
        <v>99</v>
      </c>
    </row>
    <row r="24" spans="1:11" ht="13" x14ac:dyDescent="0.3">
      <c r="A24" s="53" t="s">
        <v>100</v>
      </c>
      <c r="B24" s="53" t="s">
        <v>63</v>
      </c>
      <c r="C24" s="53" t="s">
        <v>64</v>
      </c>
      <c r="D24" s="53" t="s">
        <v>65</v>
      </c>
      <c r="E24" s="53" t="s">
        <v>66</v>
      </c>
      <c r="F24" s="53" t="s">
        <v>67</v>
      </c>
      <c r="G24" s="53" t="s">
        <v>68</v>
      </c>
      <c r="H24" s="53" t="s">
        <v>69</v>
      </c>
      <c r="I24" s="53" t="s">
        <v>70</v>
      </c>
      <c r="J24" s="53" t="s">
        <v>71</v>
      </c>
      <c r="K24" s="53" t="s">
        <v>72</v>
      </c>
    </row>
    <row r="25" spans="1:11" x14ac:dyDescent="0.25">
      <c r="A25" s="54" t="s">
        <v>101</v>
      </c>
      <c r="B25" s="58">
        <v>0.15213333333333329</v>
      </c>
      <c r="C25" s="58">
        <v>7.4571428571428566E-2</v>
      </c>
      <c r="D25" s="58">
        <v>6.5833333333333341E-2</v>
      </c>
      <c r="E25" s="58">
        <v>0.12859999999999999</v>
      </c>
      <c r="F25" s="58">
        <v>0.182</v>
      </c>
      <c r="G25" s="58">
        <v>0.25</v>
      </c>
      <c r="H25" s="58">
        <v>0.25</v>
      </c>
      <c r="I25" s="58">
        <v>0.25</v>
      </c>
      <c r="J25" s="58">
        <v>0.25</v>
      </c>
      <c r="K25" s="58">
        <v>0</v>
      </c>
    </row>
    <row r="26" spans="1:11" x14ac:dyDescent="0.25">
      <c r="A26" s="54" t="s">
        <v>102</v>
      </c>
      <c r="B26" s="58">
        <v>0.48520000000000008</v>
      </c>
      <c r="C26" s="58">
        <v>0.61257142857142843</v>
      </c>
      <c r="D26" s="58">
        <v>0.60083333333333333</v>
      </c>
      <c r="E26" s="58">
        <v>0.38940000000000008</v>
      </c>
      <c r="F26" s="58">
        <v>0.26371428571428568</v>
      </c>
      <c r="G26" s="58">
        <v>0.35</v>
      </c>
      <c r="H26" s="58">
        <v>0.35</v>
      </c>
      <c r="I26" s="58">
        <v>0.35</v>
      </c>
      <c r="J26" s="58">
        <v>0.35</v>
      </c>
      <c r="K26" s="58">
        <v>0</v>
      </c>
    </row>
    <row r="27" spans="1:11" x14ac:dyDescent="0.25">
      <c r="A27" s="54" t="s">
        <v>103</v>
      </c>
      <c r="B27" s="58">
        <v>0.22266666666666671</v>
      </c>
      <c r="C27" s="58">
        <v>0.1485714285714286</v>
      </c>
      <c r="D27" s="58">
        <v>0.14166666666666669</v>
      </c>
      <c r="E27" s="58">
        <v>0.222</v>
      </c>
      <c r="F27" s="58">
        <v>0.28285714285714292</v>
      </c>
      <c r="G27" s="58">
        <v>0.3</v>
      </c>
      <c r="H27" s="58">
        <v>0.3</v>
      </c>
      <c r="I27" s="58">
        <v>0.3</v>
      </c>
      <c r="J27" s="58">
        <v>0.3</v>
      </c>
      <c r="K27" s="58">
        <v>0</v>
      </c>
    </row>
    <row r="28" spans="1:11" x14ac:dyDescent="0.25">
      <c r="A28" s="54" t="s">
        <v>104</v>
      </c>
      <c r="B28" s="58">
        <v>0.1133333333333333</v>
      </c>
      <c r="C28" s="58">
        <v>0.1071428571428571</v>
      </c>
      <c r="D28" s="58">
        <v>0.1083333333333333</v>
      </c>
      <c r="E28" s="58">
        <v>0.14000000000000001</v>
      </c>
      <c r="F28" s="58">
        <v>0.1571428571428572</v>
      </c>
      <c r="G28" s="58">
        <v>9.9999999999999992E-2</v>
      </c>
      <c r="H28" s="58">
        <v>0.1</v>
      </c>
      <c r="I28" s="58">
        <v>9.9999999999999992E-2</v>
      </c>
      <c r="J28" s="58">
        <v>9.9999999999999992E-2</v>
      </c>
      <c r="K28" s="58">
        <v>0</v>
      </c>
    </row>
    <row r="29" spans="1:11" x14ac:dyDescent="0.25">
      <c r="A29" s="54" t="s">
        <v>105</v>
      </c>
      <c r="B29" s="58">
        <v>2.6666666666666668E-2</v>
      </c>
      <c r="C29" s="58">
        <v>5.7142857142857141E-2</v>
      </c>
      <c r="D29" s="58">
        <v>8.3333333333333343E-2</v>
      </c>
      <c r="E29" s="58">
        <v>0.12</v>
      </c>
      <c r="F29" s="58">
        <v>0.1142857142857143</v>
      </c>
      <c r="G29" s="58">
        <v>0</v>
      </c>
      <c r="H29" s="58">
        <v>0</v>
      </c>
      <c r="I29" s="58">
        <v>0</v>
      </c>
      <c r="J29" s="58">
        <v>0</v>
      </c>
      <c r="K29" s="58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workbookViewId="0"/>
  </sheetViews>
  <sheetFormatPr baseColWidth="10" defaultColWidth="8.7265625" defaultRowHeight="12.5" x14ac:dyDescent="0.25"/>
  <cols>
    <col min="1" max="1" width="12" customWidth="1"/>
    <col min="2" max="2" width="22" customWidth="1"/>
    <col min="3" max="3" width="12" customWidth="1"/>
    <col min="4" max="5" width="14" customWidth="1"/>
    <col min="6" max="6" width="12" customWidth="1"/>
  </cols>
  <sheetData>
    <row r="1" spans="1:6" ht="18" x14ac:dyDescent="0.4">
      <c r="A1" s="52" t="s">
        <v>106</v>
      </c>
    </row>
    <row r="2" spans="1:6" ht="13" x14ac:dyDescent="0.3">
      <c r="A2" s="60" t="s">
        <v>107</v>
      </c>
    </row>
    <row r="4" spans="1:6" ht="13" x14ac:dyDescent="0.3">
      <c r="A4" s="61" t="s">
        <v>76</v>
      </c>
      <c r="B4" s="61" t="s">
        <v>108</v>
      </c>
      <c r="C4" s="61" t="s">
        <v>109</v>
      </c>
      <c r="D4" s="61" t="s">
        <v>110</v>
      </c>
      <c r="E4" s="61" t="s">
        <v>111</v>
      </c>
      <c r="F4" s="61" t="s">
        <v>112</v>
      </c>
    </row>
    <row r="5" spans="1:6" x14ac:dyDescent="0.25">
      <c r="A5" s="54" t="s">
        <v>78</v>
      </c>
      <c r="B5" s="54" t="s">
        <v>113</v>
      </c>
      <c r="C5" s="62">
        <v>5.5698074671431508E-2</v>
      </c>
      <c r="D5" s="62">
        <v>2.82817597572073E-2</v>
      </c>
      <c r="E5" s="62">
        <v>-2.9713252302988939E-2</v>
      </c>
      <c r="F5" s="63">
        <v>1.24875247718279</v>
      </c>
    </row>
    <row r="6" spans="1:6" x14ac:dyDescent="0.25">
      <c r="A6" s="54" t="s">
        <v>79</v>
      </c>
      <c r="B6" s="54" t="s">
        <v>114</v>
      </c>
      <c r="C6" s="62">
        <v>5.3799188633695483E-2</v>
      </c>
      <c r="D6" s="62">
        <v>3.5817303110566447E-2</v>
      </c>
      <c r="E6" s="62">
        <v>-4.7317861472342057E-2</v>
      </c>
      <c r="F6" s="63">
        <v>0.93414394751677332</v>
      </c>
    </row>
    <row r="7" spans="1:6" x14ac:dyDescent="0.25">
      <c r="A7" s="54" t="s">
        <v>80</v>
      </c>
      <c r="B7" s="54" t="s">
        <v>115</v>
      </c>
      <c r="C7" s="62">
        <v>6.2348354145550733E-2</v>
      </c>
      <c r="D7" s="62">
        <v>4.6513662835975682E-2</v>
      </c>
      <c r="E7" s="62">
        <v>-5.6350554019307518E-2</v>
      </c>
      <c r="F7" s="63">
        <v>0.89810893047452311</v>
      </c>
    </row>
    <row r="8" spans="1:6" x14ac:dyDescent="0.25">
      <c r="A8" s="54" t="s">
        <v>81</v>
      </c>
      <c r="B8" s="54" t="s">
        <v>116</v>
      </c>
      <c r="C8" s="62">
        <v>7.1536494781598403E-2</v>
      </c>
      <c r="D8" s="62">
        <v>5.7502897511225219E-2</v>
      </c>
      <c r="E8" s="62">
        <v>-6.2934419593481922E-2</v>
      </c>
      <c r="F8" s="63">
        <v>0.88387981623035838</v>
      </c>
    </row>
    <row r="9" spans="1:6" x14ac:dyDescent="0.25">
      <c r="A9" s="54" t="s">
        <v>82</v>
      </c>
      <c r="B9" s="54" t="s">
        <v>117</v>
      </c>
      <c r="C9" s="62">
        <v>9.3790359578441951E-2</v>
      </c>
      <c r="D9" s="62">
        <v>6.7072480392106115E-2</v>
      </c>
      <c r="E9" s="62">
        <v>-6.2954177318573112E-2</v>
      </c>
      <c r="F9" s="63">
        <v>1.0739883897407121</v>
      </c>
    </row>
    <row r="10" spans="1:6" x14ac:dyDescent="0.25">
      <c r="A10" s="54" t="s">
        <v>83</v>
      </c>
      <c r="B10" s="54" t="s">
        <v>118</v>
      </c>
      <c r="C10" s="62">
        <v>0.1067188246919946</v>
      </c>
      <c r="D10" s="62">
        <v>8.038374651285346E-2</v>
      </c>
      <c r="E10" s="62">
        <v>-6.5496707446235231E-2</v>
      </c>
      <c r="F10" s="63">
        <v>1.052655069894487</v>
      </c>
    </row>
    <row r="11" spans="1:6" x14ac:dyDescent="0.25">
      <c r="A11" s="54" t="s">
        <v>84</v>
      </c>
      <c r="B11" s="54" t="s">
        <v>119</v>
      </c>
      <c r="C11" s="62">
        <v>0.1131881935039549</v>
      </c>
      <c r="D11" s="62">
        <v>8.3468315790733966E-2</v>
      </c>
      <c r="E11" s="62">
        <v>-6.4375679119139398E-2</v>
      </c>
      <c r="F11" s="63">
        <v>1.0863234432225359</v>
      </c>
    </row>
    <row r="12" spans="1:6" x14ac:dyDescent="0.25">
      <c r="A12" s="54" t="s">
        <v>85</v>
      </c>
      <c r="B12" s="54" t="s">
        <v>120</v>
      </c>
      <c r="C12" s="62">
        <v>0.11813804896471811</v>
      </c>
      <c r="D12" s="62">
        <v>8.8129027663364251E-2</v>
      </c>
      <c r="E12" s="62">
        <v>-6.6129877923025382E-2</v>
      </c>
      <c r="F12" s="63">
        <v>1.083629548596446</v>
      </c>
    </row>
    <row r="13" spans="1:6" x14ac:dyDescent="0.25">
      <c r="A13" s="54" t="s">
        <v>86</v>
      </c>
      <c r="B13" s="54" t="s">
        <v>121</v>
      </c>
      <c r="C13" s="62">
        <v>0.12534924968145411</v>
      </c>
      <c r="D13" s="62">
        <v>9.0809410670806057E-2</v>
      </c>
      <c r="E13" s="62">
        <v>-6.7166342855302361E-2</v>
      </c>
      <c r="F13" s="63">
        <v>1.1248100128512051</v>
      </c>
    </row>
    <row r="14" spans="1:6" x14ac:dyDescent="0.25">
      <c r="A14" s="54" t="s">
        <v>87</v>
      </c>
      <c r="B14" s="54" t="s">
        <v>122</v>
      </c>
      <c r="C14" s="62">
        <v>0.13253289769504659</v>
      </c>
      <c r="D14" s="62">
        <v>9.3672643145748663E-2</v>
      </c>
      <c r="E14" s="62">
        <v>-6.9263720263312206E-2</v>
      </c>
      <c r="F14" s="63">
        <v>1.160927919907546</v>
      </c>
    </row>
    <row r="16" spans="1:6" ht="13" x14ac:dyDescent="0.3">
      <c r="A16" s="64" t="s">
        <v>123</v>
      </c>
      <c r="B16" s="54" t="s">
        <v>124</v>
      </c>
      <c r="C16" s="55">
        <v>0.10050000000000001</v>
      </c>
      <c r="D16" s="55">
        <v>0.1239</v>
      </c>
      <c r="E16" s="55">
        <v>-0.1394</v>
      </c>
      <c r="F16" s="59">
        <v>0.67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BBC67-69CC-4425-B9B1-89117FF450BE}">
  <dimension ref="A1:F16"/>
  <sheetViews>
    <sheetView workbookViewId="0">
      <selection activeCell="I49" sqref="I49"/>
    </sheetView>
  </sheetViews>
  <sheetFormatPr baseColWidth="10" defaultColWidth="8.7265625" defaultRowHeight="12.5" x14ac:dyDescent="0.25"/>
  <cols>
    <col min="1" max="1" width="12" style="48" customWidth="1"/>
    <col min="2" max="2" width="22" style="48" customWidth="1"/>
    <col min="3" max="3" width="12" style="48" customWidth="1"/>
    <col min="4" max="5" width="14" style="48" customWidth="1"/>
    <col min="6" max="6" width="12" style="48" customWidth="1"/>
    <col min="7" max="16384" width="8.7265625" style="48"/>
  </cols>
  <sheetData>
    <row r="1" spans="1:6" ht="18" x14ac:dyDescent="0.4">
      <c r="A1" s="65" t="s">
        <v>125</v>
      </c>
    </row>
    <row r="2" spans="1:6" ht="13" x14ac:dyDescent="0.3">
      <c r="A2" s="66" t="s">
        <v>126</v>
      </c>
    </row>
    <row r="4" spans="1:6" ht="13" x14ac:dyDescent="0.3">
      <c r="A4" s="61" t="s">
        <v>76</v>
      </c>
      <c r="B4" s="61" t="s">
        <v>108</v>
      </c>
      <c r="C4" s="61" t="s">
        <v>109</v>
      </c>
      <c r="D4" s="61" t="s">
        <v>110</v>
      </c>
      <c r="E4" s="61" t="s">
        <v>111</v>
      </c>
      <c r="F4" s="61" t="s">
        <v>112</v>
      </c>
    </row>
    <row r="5" spans="1:6" x14ac:dyDescent="0.25">
      <c r="A5" s="54" t="s">
        <v>78</v>
      </c>
      <c r="B5" s="54" t="s">
        <v>113</v>
      </c>
      <c r="C5" s="62">
        <v>9.9003181777431726E-2</v>
      </c>
      <c r="D5" s="62">
        <v>2.4796387367910479E-2</v>
      </c>
      <c r="E5" s="62">
        <v>-4.4918864598333004E-3</v>
      </c>
      <c r="F5" s="63">
        <v>2.4224783070792788</v>
      </c>
    </row>
    <row r="6" spans="1:6" x14ac:dyDescent="0.25">
      <c r="A6" s="54" t="s">
        <v>79</v>
      </c>
      <c r="B6" s="54" t="s">
        <v>114</v>
      </c>
      <c r="C6" s="62">
        <v>0.10311363849390399</v>
      </c>
      <c r="D6" s="62">
        <v>2.816040329152238E-2</v>
      </c>
      <c r="E6" s="62">
        <v>-7.0734847929004203E-3</v>
      </c>
      <c r="F6" s="63">
        <v>2.269746771112457</v>
      </c>
    </row>
    <row r="7" spans="1:6" x14ac:dyDescent="0.25">
      <c r="A7" s="54" t="s">
        <v>80</v>
      </c>
      <c r="B7" s="54" t="s">
        <v>115</v>
      </c>
      <c r="C7" s="62">
        <v>0.11208204976237129</v>
      </c>
      <c r="D7" s="62">
        <v>3.6664098827711843E-2</v>
      </c>
      <c r="E7" s="62">
        <v>-1.172853258821945E-2</v>
      </c>
      <c r="F7" s="63">
        <v>1.973221194511926</v>
      </c>
    </row>
    <row r="8" spans="1:6" x14ac:dyDescent="0.25">
      <c r="A8" s="54" t="s">
        <v>81</v>
      </c>
      <c r="B8" s="54" t="s">
        <v>116</v>
      </c>
      <c r="C8" s="62">
        <v>0.12107616383081091</v>
      </c>
      <c r="D8" s="62">
        <v>4.5781429496861391E-2</v>
      </c>
      <c r="E8" s="62">
        <v>-2.289744573383418E-2</v>
      </c>
      <c r="F8" s="63">
        <v>1.7656653791783461</v>
      </c>
    </row>
    <row r="9" spans="1:6" x14ac:dyDescent="0.25">
      <c r="A9" s="54" t="s">
        <v>82</v>
      </c>
      <c r="B9" s="54" t="s">
        <v>117</v>
      </c>
      <c r="C9" s="62">
        <v>0.14989558431203509</v>
      </c>
      <c r="D9" s="62">
        <v>5.6862383585416322E-2</v>
      </c>
      <c r="E9" s="62">
        <v>-3.0589507744188959E-2</v>
      </c>
      <c r="F9" s="63">
        <v>1.8821992033829289</v>
      </c>
    </row>
    <row r="10" spans="1:6" x14ac:dyDescent="0.25">
      <c r="A10" s="54" t="s">
        <v>83</v>
      </c>
      <c r="B10" s="54" t="s">
        <v>118</v>
      </c>
      <c r="C10" s="62">
        <v>0.15994168868455591</v>
      </c>
      <c r="D10" s="62">
        <v>6.881884009014437E-2</v>
      </c>
      <c r="E10" s="62">
        <v>-4.7117501463495783E-2</v>
      </c>
      <c r="F10" s="63">
        <v>1.693558697306379</v>
      </c>
    </row>
    <row r="11" spans="1:6" x14ac:dyDescent="0.25">
      <c r="A11" s="54" t="s">
        <v>84</v>
      </c>
      <c r="B11" s="54" t="s">
        <v>119</v>
      </c>
      <c r="C11" s="62">
        <v>0.1646995475449409</v>
      </c>
      <c r="D11" s="62">
        <v>7.2347425973363397E-2</v>
      </c>
      <c r="E11" s="62">
        <v>-5.2524403573457612E-2</v>
      </c>
      <c r="F11" s="63">
        <v>1.671553520568219</v>
      </c>
    </row>
    <row r="12" spans="1:6" x14ac:dyDescent="0.25">
      <c r="A12" s="54" t="s">
        <v>85</v>
      </c>
      <c r="B12" s="54" t="s">
        <v>120</v>
      </c>
      <c r="C12" s="62">
        <v>0.16891579322473249</v>
      </c>
      <c r="D12" s="62">
        <v>7.6714870640811131E-2</v>
      </c>
      <c r="E12" s="62">
        <v>-5.8876928829693129E-2</v>
      </c>
      <c r="F12" s="63">
        <v>1.6281764624882611</v>
      </c>
    </row>
    <row r="13" spans="1:6" x14ac:dyDescent="0.25">
      <c r="A13" s="54" t="s">
        <v>86</v>
      </c>
      <c r="B13" s="54" t="s">
        <v>121</v>
      </c>
      <c r="C13" s="62">
        <v>0.17392417120669301</v>
      </c>
      <c r="D13" s="62">
        <v>8.0063042190581787E-2</v>
      </c>
      <c r="E13" s="62">
        <v>-6.3774485465894495E-2</v>
      </c>
      <c r="F13" s="63">
        <v>1.6173478078601591</v>
      </c>
    </row>
    <row r="14" spans="1:6" x14ac:dyDescent="0.25">
      <c r="A14" s="54" t="s">
        <v>87</v>
      </c>
      <c r="B14" s="54" t="s">
        <v>122</v>
      </c>
      <c r="C14" s="62">
        <v>0.1789222033887603</v>
      </c>
      <c r="D14" s="62">
        <v>8.3500695548212461E-2</v>
      </c>
      <c r="E14" s="62">
        <v>-6.9263720263312234E-2</v>
      </c>
      <c r="F14" s="63">
        <v>1.6055759080188301</v>
      </c>
    </row>
    <row r="16" spans="1:6" ht="13" x14ac:dyDescent="0.3">
      <c r="A16" s="67" t="s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Carteras K Inbestme</vt:lpstr>
      <vt:lpstr>TER por ETF y Cartera</vt:lpstr>
      <vt:lpstr>Desglose Geografico y Ratings</vt:lpstr>
      <vt:lpstr>Metricas por Cartera</vt:lpstr>
      <vt:lpstr>Metricas desde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Gonzalez</dc:creator>
  <cp:lastModifiedBy>GetGoFar</cp:lastModifiedBy>
  <dcterms:created xsi:type="dcterms:W3CDTF">2026-01-25T19:32:31Z</dcterms:created>
  <dcterms:modified xsi:type="dcterms:W3CDTF">2026-02-05T16:28:52Z</dcterms:modified>
</cp:coreProperties>
</file>