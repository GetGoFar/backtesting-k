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il de Riesgo" sheetId="1" r:id="rId4"/>
    <sheet state="visible" name="Fondos de Inversión Indexada" sheetId="2" r:id="rId5"/>
    <sheet state="visible" name="ETFs" sheetId="3" r:id="rId6"/>
    <sheet state="visible" name="Control Cartera K Geográfica FI" sheetId="4" r:id="rId7"/>
    <sheet state="visible" name=" Control Cartera K Geográfica E" sheetId="5" r:id="rId8"/>
    <sheet state="visible" name="Control Cartera K Sectorial ETF" sheetId="6" r:id="rId9"/>
    <sheet state="visible" name="Control Cartera K Sectorial v2 " sheetId="7" r:id="rId10"/>
    <sheet state="visible" name="Pesos Cartera K Geográfica" sheetId="8" r:id="rId11"/>
    <sheet state="visible" name="Pesos Cartera K Sectorial" sheetId="9" r:id="rId12"/>
    <sheet state="visible" name="Pesos Cartera K Sectorial v2" sheetId="10" r:id="rId13"/>
  </sheets>
  <definedNames/>
  <calcPr/>
</workbook>
</file>

<file path=xl/sharedStrings.xml><?xml version="1.0" encoding="utf-8"?>
<sst xmlns="http://schemas.openxmlformats.org/spreadsheetml/2006/main" count="996" uniqueCount="371">
  <si>
    <t>Evalua tu Perfil de Riesgo</t>
  </si>
  <si>
    <t>Cada persona tiene una actitud y una capacidad diferentes para asumir riesgos con su dinero. Completa la evaluación para conocer el tuyo. Para cada pregunta selecciona del menu desplegable la respuesta más adecuada.</t>
  </si>
  <si>
    <t>PREGUNTAS SOBRE TU CAPACIDAD PARA ASUMIR RIESGOS</t>
  </si>
  <si>
    <t>Puntos</t>
  </si>
  <si>
    <t>Más de 25 años</t>
  </si>
  <si>
    <t>Funcionario o ingresos pasivos recurrentes</t>
  </si>
  <si>
    <t>Más de 12 meses</t>
  </si>
  <si>
    <t>Menos del 20%</t>
  </si>
  <si>
    <t>No, sin deudas</t>
  </si>
  <si>
    <t>Sí, solo hipoteca razonable (&lt;30% ingresos)</t>
  </si>
  <si>
    <t>Puntuación TOTAL CAPACIDAD PARA ASUMIR RIESGOS</t>
  </si>
  <si>
    <t>PREGUNTAS SOBRE TU ACTITUD HACIA EL RIESGO</t>
  </si>
  <si>
    <t>Sí, y compré más aprovechando</t>
  </si>
  <si>
    <t>Aprovecho para aportar más</t>
  </si>
  <si>
    <t>Anualmente o menos</t>
  </si>
  <si>
    <t>Tranquilo, son solo 2 años en un horizonte largo</t>
  </si>
  <si>
    <t>Máxima rentabilidad esperada, la volatilidad no me afecta emocionalmente</t>
  </si>
  <si>
    <t>Puntuación TOTAL TOLERANCIA AL RIESGO</t>
  </si>
  <si>
    <t>Tu perfil de riesgo es:</t>
  </si>
  <si>
    <t>Perfiles</t>
  </si>
  <si>
    <t>Conservador (0-20 puntos):</t>
  </si>
  <si>
    <t>Un inversor conservador busca preservar su capital de inversión y es en gran medida adverso al riesgo. Este tipo de inversor requiere consistencia y baja variabilidad en los rendimientos, así como acceso al capital dentro de los primeros tres años. Una meta de rendimiento adecuada para este perfil podría ser el índice de inflación (IPC) más un 1 a 2% durante un periodo móvil de tres años.
Objetivo de Rendimiento: 1-2</t>
  </si>
  <si>
    <t>Moderadamente Conservador (21-40 puntos):</t>
  </si>
  <si>
    <t>Un inversor moderadamente conservador también busca preservar su capital de inversión mientras logra un crecimiento estable. Este inversor requiere consistencia en los rendimientos y puede necesitar ingresos regulares y acceso al capital dentro de un periodo de tres años. Una meta de rendimiento adecuada para este perfil podría ser el IPC más un 2 a 3% en un periodo de tres años.
Objetivo de Rendimiento: 3-4</t>
  </si>
  <si>
    <t>Moderado (41-60 puntos):</t>
  </si>
  <si>
    <t>Un inversor moderado prefiere el crecimiento de capital sobre la preservación del capital. Está dispuesto a tolerar fluctuaciones moderadas en los rendimientos de la inversión, puede necesitar ingresos regulares y está preparado para invertir por un periodo mínimo de cinco años. Una meta de rendimiento adecuada para este perfil podría ser el IPC más un 3 a 4% durante cinco años.
Objetivo de Rendimiento: 5-6</t>
  </si>
  <si>
    <t>Moderadamente Agresivo (61-80 puntos):</t>
  </si>
  <si>
    <t>Un inversor moderadamente agresivo busca el crecimiento del capital y está dispuesto a tolerar fluctuaciones en los rendimientos similares a los que se ven en los mercados de renta variable. Puede requerir un pequeño ingreso y está preparado para invertir por un periodo mínimo de siete años. Una meta de rendimiento adecuada para este perfil podría ser el IPC más un 4 a 5% durante siete años.
Objetivo de Rendimiento: 7-8</t>
  </si>
  <si>
    <t>Agresivo (81-100 puntos):</t>
  </si>
  <si>
    <t>Un inversor agresivo busca el máximo crecimiento del capital. Este inversor está dispuesto a tolerar fluctuaciones en los rendimientos que son similares a los observados en los mercados de renta variable, puede requerir un pequeño ingreso y está preparado para invertir por un periodo mínimo de diez años. Una meta de rendimiento adecuada para este perfil podría ser el IPC más un 5 a 6% durante diez años.
Objetivo de Rendimiento: 9-10</t>
  </si>
  <si>
    <t>1. ¿Cuándo necesitarás retirar el 50% o más de este dinero?</t>
  </si>
  <si>
    <t>Menos de 3 años</t>
  </si>
  <si>
    <t>3-7 años</t>
  </si>
  <si>
    <t>8-15 años</t>
  </si>
  <si>
    <t>16-25 años</t>
  </si>
  <si>
    <t>2. Describe tu situación laboral/ingresos:</t>
  </si>
  <si>
    <t>Ingresos variables, autónomo sin colchón</t>
  </si>
  <si>
    <t>Empleado con contrato temporal</t>
  </si>
  <si>
    <t>Empleado fijo, sector estable</t>
  </si>
  <si>
    <t>3. Fuera de esta inversión, ¿cuántos meses de gastos tienes en liquidez?</t>
  </si>
  <si>
    <t>Menos de 3 meses</t>
  </si>
  <si>
    <t>3-6 meses</t>
  </si>
  <si>
    <t>6-12 meses</t>
  </si>
  <si>
    <t>4. ¿Qué % de tu patrimonio líquido total representa esta inversión?</t>
  </si>
  <si>
    <t>Más del 80%</t>
  </si>
  <si>
    <t>60-80%</t>
  </si>
  <si>
    <t>40-60%</t>
  </si>
  <si>
    <t>20-40%</t>
  </si>
  <si>
    <t>5. ¿Tienes deudas significativas?</t>
  </si>
  <si>
    <t>Sí, deudas &gt;50% de ingresos mensuales netos</t>
  </si>
  <si>
    <t>Sí, deudas entre 30-50% de ingresos</t>
  </si>
  <si>
    <t>6. ¿Has vivido una caída del mercado &gt;20% con dinero invertido?</t>
  </si>
  <si>
    <t>Nunca he invertido (aún no tengo experiencia)</t>
  </si>
  <si>
    <t>Sí, y vendí en pánico</t>
  </si>
  <si>
    <t>Sí, y aguanté con mucho estrés</t>
  </si>
  <si>
    <t>Sí, y aguanté sin problema</t>
  </si>
  <si>
    <t>7. Tienes 100.000€ invertidos. En 6 meses, el mercado cae 40% y tu cartera vale 60.000€. ¿Qué haces?</t>
  </si>
  <si>
    <t>Vendo todo inmediatamente</t>
  </si>
  <si>
    <t>Vendo la mitad para 'asegurar'</t>
  </si>
  <si>
    <t>Me estreso pero aguanto sin vender</t>
  </si>
  <si>
    <t>No me preocupa, mantengo según plan</t>
  </si>
  <si>
    <t>8. ¿Cada cuánto revisas el valor de tu cartera?</t>
  </si>
  <si>
    <t>Diariamente</t>
  </si>
  <si>
    <t>Semanalmente</t>
  </si>
  <si>
    <t>Mensualmente</t>
  </si>
  <si>
    <t>Trimestralmente</t>
  </si>
  <si>
    <t>9. Tu cartera lleva 2 años rindiendo -5% anual mientras el plazo fijo da +2%. ¿Cómo te sientes?</t>
  </si>
  <si>
    <t>Muy mal, fue un error invertir</t>
  </si>
  <si>
    <t>Mal, considero seriamente cambiar de estrategia</t>
  </si>
  <si>
    <t>Incómodo pero entiendo que es volatilidad normal</t>
  </si>
  <si>
    <t>10. ¿Qué priorizas en tu inversión?</t>
  </si>
  <si>
    <t>Tranquilidad total, prefiero dormir bien aunque gane menos</t>
  </si>
  <si>
    <t>Balance entre rentabilidad y paz mental</t>
  </si>
  <si>
    <t>Rentabilidad esperada, acepto volatilidad como parte del juego</t>
  </si>
  <si>
    <t>Fondos de Inversión Indexada</t>
  </si>
  <si>
    <t>Nombre</t>
  </si>
  <si>
    <t>ISIN</t>
  </si>
  <si>
    <t>TER</t>
  </si>
  <si>
    <t>Gestora</t>
  </si>
  <si>
    <t>Mercado</t>
  </si>
  <si>
    <t>Categoría</t>
  </si>
  <si>
    <t>Vanguard U.S. 500 Stock Index Fund Investor EUR Accumulation</t>
  </si>
  <si>
    <t>IE0032126645</t>
  </si>
  <si>
    <t>Vanguard</t>
  </si>
  <si>
    <t>USA</t>
  </si>
  <si>
    <t>Renta Variable</t>
  </si>
  <si>
    <t>Fidelity S&amp;P 500 Index Fund P-ACC-EUR</t>
  </si>
  <si>
    <t>IE00BYX5MX6</t>
  </si>
  <si>
    <t>Fidelity</t>
  </si>
  <si>
    <t>Vanguard European Stock Index Fund Investor EUR Accumulation</t>
  </si>
  <si>
    <t>IE0007987690</t>
  </si>
  <si>
    <t xml:space="preserve">Europa </t>
  </si>
  <si>
    <t>Fidelity MSCI Europe Index Fund EUR P Acc</t>
  </si>
  <si>
    <t>IE00BYX5MD61</t>
  </si>
  <si>
    <t>Vanguard Japan Stock Index Inv EUR Acc</t>
  </si>
  <si>
    <t>IE0007281425</t>
  </si>
  <si>
    <t>Japón</t>
  </si>
  <si>
    <t>Fidelity MSCI Japan Index Fund EUR P Acc</t>
  </si>
  <si>
    <t>IE00BYX5N771</t>
  </si>
  <si>
    <t>Vanguard Pacific ex-Japan Stock Index Fund EUR Acc</t>
  </si>
  <si>
    <t>IE0007201266</t>
  </si>
  <si>
    <t>Asia ExJapón</t>
  </si>
  <si>
    <t>iShares Emerging Markets Index Fund (IE) D Acc EUR</t>
  </si>
  <si>
    <t>IE00BYWYCC39</t>
  </si>
  <si>
    <t>Blackrock</t>
  </si>
  <si>
    <t>Emergentes</t>
  </si>
  <si>
    <t>Vanguard Emerging Markets Stock Index Fund EUR Acc</t>
  </si>
  <si>
    <t>IE0031786696</t>
  </si>
  <si>
    <t>iShares Emerging Markets Index Fund (IE) Acc EUR clase S</t>
  </si>
  <si>
    <t>IE000QAZP7L2</t>
  </si>
  <si>
    <t>MyInvestor</t>
  </si>
  <si>
    <t>Vanguard Global Small-Cap Index Fund Investor EUR Accumulation</t>
  </si>
  <si>
    <t>IE00B42W3S00</t>
  </si>
  <si>
    <t>Small Caps</t>
  </si>
  <si>
    <t>Vanguard Global Stock Index Fund EUR Acc</t>
  </si>
  <si>
    <t>IE00B03HD191</t>
  </si>
  <si>
    <t>Global Desarrollado</t>
  </si>
  <si>
    <t>Fidelity MSCI World Index Fund P-ACC-EUR</t>
  </si>
  <si>
    <t>IE00BYX5NX33</t>
  </si>
  <si>
    <t>iShares Dev Wld Idx (IE) S Acc EUR</t>
  </si>
  <si>
    <t>IE000ZYRH0Q7</t>
  </si>
  <si>
    <t xml:space="preserve"> Blackrock</t>
  </si>
  <si>
    <t>iShares Developed World ESG Screened Index Fund (IE) D Acc EUR</t>
  </si>
  <si>
    <t>IE000N51F726</t>
  </si>
  <si>
    <t>ESG</t>
  </si>
  <si>
    <t>Plazo</t>
  </si>
  <si>
    <t>Duración</t>
  </si>
  <si>
    <t>Vanguard 20+ Year Euro Treasury Index Fund</t>
  </si>
  <si>
    <t>IE00B246KL88</t>
  </si>
  <si>
    <t>Europa</t>
  </si>
  <si>
    <t>Largo Plazo</t>
  </si>
  <si>
    <t>Pública</t>
  </si>
  <si>
    <t>Vanguard US Government Bond Index Fund EUR Hedged</t>
  </si>
  <si>
    <t>IE0007471471</t>
  </si>
  <si>
    <t>Medio Plazo</t>
  </si>
  <si>
    <t>Vanguard Global Short Term Bond Ix Inv EURH Acc</t>
  </si>
  <si>
    <t>IE00BH65QK91</t>
  </si>
  <si>
    <t>Global</t>
  </si>
  <si>
    <t>Corto Plazo</t>
  </si>
  <si>
    <t>Mixto</t>
  </si>
  <si>
    <t>Vanguard Eurozone Inflation-Linked Bond Idx Inv EUR Acc</t>
  </si>
  <si>
    <t>IE00B04GQQ17</t>
  </si>
  <si>
    <t>TIPS/Medio Plazo</t>
  </si>
  <si>
    <t>Vanguard Euro Government Bond Index Fund EUR Acc</t>
  </si>
  <si>
    <t>IE0007472990</t>
  </si>
  <si>
    <t>iShares Ultra High Quality Euro Government Bond Index Fund (IE) Institutional Acc EUR</t>
  </si>
  <si>
    <t>IE00B4XCK338</t>
  </si>
  <si>
    <t xml:space="preserve">iShares Euro Investment Grade Corporate Bond Index Fund (IE) D Acc EUR </t>
  </si>
  <si>
    <t>IE00BDRK7J14</t>
  </si>
  <si>
    <t>Corporativa</t>
  </si>
  <si>
    <t>Vanguard Global Corporate Bond Index Fund EUR Hedged Accumulation</t>
  </si>
  <si>
    <t>IE00BDFB5N63</t>
  </si>
  <si>
    <t>Vanguard Emerging Markets Bond Fund Investor EUR Hedged Accumulation</t>
  </si>
  <si>
    <t>IE00BKLWXS37</t>
  </si>
  <si>
    <t>High Yield</t>
  </si>
  <si>
    <t>iShares Emerging Markets Government Bond Index Fund (LU) A2 EUR Hedged</t>
  </si>
  <si>
    <t>LU1373035580</t>
  </si>
  <si>
    <t>ETFs</t>
  </si>
  <si>
    <t>Ticket JustEtf</t>
  </si>
  <si>
    <t>Geográfica</t>
  </si>
  <si>
    <t>VUAA</t>
  </si>
  <si>
    <t>Vanguard S&amp;P 500 UCITS ETF (USD) Accumulating</t>
  </si>
  <si>
    <t>IE00BFMXXD54</t>
  </si>
  <si>
    <t>EUNK</t>
  </si>
  <si>
    <t>iShares Core MSCI Europe UCITS ETF EUR (Acc)</t>
  </si>
  <si>
    <t>IE00B4K48X80</t>
  </si>
  <si>
    <t>VJPA</t>
  </si>
  <si>
    <t>Vanguard FTSE Japan UCITS ETF Accumulating</t>
  </si>
  <si>
    <t>IE00BFMXYX26</t>
  </si>
  <si>
    <t>SXR1</t>
  </si>
  <si>
    <t>iShares Core MSCI Pacific ex Japan UCITS ETF (Acc)</t>
  </si>
  <si>
    <t>IE00B52MJY50</t>
  </si>
  <si>
    <t>IS3N</t>
  </si>
  <si>
    <t>iShares Core MSCI Emerging Markets IMI UCITS ETF (Acc)</t>
  </si>
  <si>
    <t>IE00BKM4GZ66</t>
  </si>
  <si>
    <t>ZPRS</t>
  </si>
  <si>
    <t>SPDR MSCI World Small Cap UCITS ETF</t>
  </si>
  <si>
    <t>IE00BCBJG560</t>
  </si>
  <si>
    <t>SPDR</t>
  </si>
  <si>
    <t>EUNL</t>
  </si>
  <si>
    <t>iShares Core MSCI World UCITS ETF USD (Acc)</t>
  </si>
  <si>
    <t>IE00B4L5Y983</t>
  </si>
  <si>
    <t>SPPW</t>
  </si>
  <si>
    <t>SPDR MSCI World UCITS ETF</t>
  </si>
  <si>
    <t>IE00BFY0GT14</t>
  </si>
  <si>
    <t>SPYY</t>
  </si>
  <si>
    <t>SPDR MSCI ACWI UCITS ETF</t>
  </si>
  <si>
    <t>IE00B44Z5B48</t>
  </si>
  <si>
    <t>Global con Emergetes</t>
  </si>
  <si>
    <t>IUSQ</t>
  </si>
  <si>
    <t>iShares MSCI ACWI UCITS ETF USD (Acc)</t>
  </si>
  <si>
    <t>IE00B6R52259</t>
  </si>
  <si>
    <t>Sectorial</t>
  </si>
  <si>
    <t>XDWS</t>
  </si>
  <si>
    <t>Xtrackers MSCI World Consumer Staples UCITS ETF 1C</t>
  </si>
  <si>
    <t>IE00BM67HN09</t>
  </si>
  <si>
    <t>Xtrackers</t>
  </si>
  <si>
    <t>Consumo básico</t>
  </si>
  <si>
    <t>XDWH</t>
  </si>
  <si>
    <t>Xtrackers MSCI World Health Care UCITS ETF 1C</t>
  </si>
  <si>
    <t>IE00BM67HK77</t>
  </si>
  <si>
    <t>Salud</t>
  </si>
  <si>
    <t>LYPE</t>
  </si>
  <si>
    <t>Amundi MSCI World Health Care UCITS ETF EUR Acc</t>
  </si>
  <si>
    <t>LU0533033238</t>
  </si>
  <si>
    <t>Amundi/Lyxor</t>
  </si>
  <si>
    <t>XDWT</t>
  </si>
  <si>
    <t>Xtrackers MSCI World Information Technology UCITS ETF 1C</t>
  </si>
  <si>
    <t>IE00BM67HT60</t>
  </si>
  <si>
    <t>Tecnología</t>
  </si>
  <si>
    <t>XDW0</t>
  </si>
  <si>
    <t>Xtrackers MSCI World Energy UCITS ETF 1C</t>
  </si>
  <si>
    <t>IE00BM67HM91</t>
  </si>
  <si>
    <t>Energía</t>
  </si>
  <si>
    <t>A4H5</t>
  </si>
  <si>
    <t>Amundi Index FTSE EPRA NAREIT Global UCITS ETF DR</t>
  </si>
  <si>
    <t>LU1437018838</t>
  </si>
  <si>
    <t>Amundi</t>
  </si>
  <si>
    <t>Real Estate</t>
  </si>
  <si>
    <t>XDWU</t>
  </si>
  <si>
    <t>Xtrackers MSCI World Utilities UCITS ETF 1C</t>
  </si>
  <si>
    <t>IE00BM67HQ30</t>
  </si>
  <si>
    <t>Utilities</t>
  </si>
  <si>
    <t>H4Z7</t>
  </si>
  <si>
    <t>HSBC FTSE EPRA NAREIT Developed UCITS ETF USD (Acc)</t>
  </si>
  <si>
    <t>IE000G6GSP88</t>
  </si>
  <si>
    <t>HSBC</t>
  </si>
  <si>
    <t>Deuda Pública</t>
  </si>
  <si>
    <t>DBZB</t>
  </si>
  <si>
    <t>Xtrackers II Global Government Bond UCITS ETF 1C EUR Hedged</t>
  </si>
  <si>
    <t>LU0378818131</t>
  </si>
  <si>
    <t xml:space="preserve"> Mixto</t>
  </si>
  <si>
    <t>Publica</t>
  </si>
  <si>
    <t>LMTH</t>
  </si>
  <si>
    <t>Amundi Euro Government Bond 25+Y UCITS ETF Acc</t>
  </si>
  <si>
    <t>LU1686832194</t>
  </si>
  <si>
    <t>LYQ6</t>
  </si>
  <si>
    <t>Amundi Euro Government Bond 10-15Y UCITS ETF Acc</t>
  </si>
  <si>
    <t>LU1650489385</t>
  </si>
  <si>
    <t>LYXD</t>
  </si>
  <si>
    <t>Amundi Euro Government Bond 7-10Y UCITS ETF Acc</t>
  </si>
  <si>
    <t>LU1287023185</t>
  </si>
  <si>
    <t>X57E</t>
  </si>
  <si>
    <t>Xtrackers Eurozone Government Bond 5-7 UCITS ETF 1C</t>
  </si>
  <si>
    <t>LU0290357176</t>
  </si>
  <si>
    <t>SXRP</t>
  </si>
  <si>
    <t>iShares Euro Government Bond 3-7yr UCITS ETF (Acc)</t>
  </si>
  <si>
    <t>IE00B3VTML14</t>
  </si>
  <si>
    <t>LYQ3</t>
  </si>
  <si>
    <t>Amundi Euro Government Bond 3-5Y UCITS ETF Acc</t>
  </si>
  <si>
    <t>LU1650488494</t>
  </si>
  <si>
    <t>LYQ2</t>
  </si>
  <si>
    <t>Amundi Euro Government Bond 1-3Y UCITS ETF Acc</t>
  </si>
  <si>
    <t>LU1650487413</t>
  </si>
  <si>
    <t>7USH</t>
  </si>
  <si>
    <t>Amundi US Treasury Bond 7-10Y UCITS ETF EUR Hedged Acc</t>
  </si>
  <si>
    <t>LU1407888137</t>
  </si>
  <si>
    <t>2B7S</t>
  </si>
  <si>
    <t>iShares USD Treasury Bond 1-3yr UCITS ETF EUR Hedged (Acc)</t>
  </si>
  <si>
    <t>IE00BDFK1573</t>
  </si>
  <si>
    <t>VDTE</t>
  </si>
  <si>
    <t>Vanguard USD Treasury Bond UCITS ETF EUR Hedged Accumulating</t>
  </si>
  <si>
    <t>IE00BMX0B631</t>
  </si>
  <si>
    <t>Deuda Corporativa</t>
  </si>
  <si>
    <t>VECA</t>
  </si>
  <si>
    <t>Vanguard EUR Corporate Bond UCITS ETF Accumulating</t>
  </si>
  <si>
    <t>IE00BGYWT403</t>
  </si>
  <si>
    <t>D5BG</t>
  </si>
  <si>
    <t>Xtrackers II EUR Corporate Bond UCITS ETF 1C</t>
  </si>
  <si>
    <t>LU0478205379</t>
  </si>
  <si>
    <t>XZE5</t>
  </si>
  <si>
    <t>Xtrackers II EUR Corporate Bond Short Duration SRI PAB UCITS ETF 1C</t>
  </si>
  <si>
    <t>LU2178481649</t>
  </si>
  <si>
    <t>A4H8</t>
  </si>
  <si>
    <t>Amundi Index Euro Corporate SRI UCITS ETF DR (C)</t>
  </si>
  <si>
    <t>LU1437018168</t>
  </si>
  <si>
    <t>UEF8</t>
  </si>
  <si>
    <t>UBS ETF (LU) Bloomberg US Liquid Corporates 1-5 Year UCITS ETF (hedged to EUR) A-acc</t>
  </si>
  <si>
    <t>LU1048315243</t>
  </si>
  <si>
    <t>UBS</t>
  </si>
  <si>
    <t>SXRI</t>
  </si>
  <si>
    <t>iShares EUR High Yield Corporate Bond UCITS ETF EUR (Acc)</t>
  </si>
  <si>
    <t>IE00BF3N7094</t>
  </si>
  <si>
    <t>XHYA</t>
  </si>
  <si>
    <t>Xtrackers EUR High Yield Corporate Bond UCITS ETF 1C</t>
  </si>
  <si>
    <t>LU1109943388</t>
  </si>
  <si>
    <t>AYE2</t>
  </si>
  <si>
    <t>iShares EUR High Yield Corporate Bond ESG UCITS ETF EUR (Acc)</t>
  </si>
  <si>
    <t>IE00BJK55C48</t>
  </si>
  <si>
    <t>EUNA</t>
  </si>
  <si>
    <t>iShares Core Global Aggregate Bond UCITS ETF EUR Hedged (Acc)</t>
  </si>
  <si>
    <t>IE00BDBRDM35</t>
  </si>
  <si>
    <t>VAGF</t>
  </si>
  <si>
    <t>Vanguard Global Aggregate Bond UCITS ETF EUR Hedged Accumulating</t>
  </si>
  <si>
    <t>IE00BG47KH54</t>
  </si>
  <si>
    <t>TIPS</t>
  </si>
  <si>
    <t>IBCI</t>
  </si>
  <si>
    <t>iShares Euro Inflation Linked Government Bond UCITS ETF</t>
  </si>
  <si>
    <t>IE00B0M62X26</t>
  </si>
  <si>
    <t>TIPs</t>
  </si>
  <si>
    <t>LYQ7</t>
  </si>
  <si>
    <t>Amundi Euro Government Inflation-Linked Bond UCITS ETF Acc</t>
  </si>
  <si>
    <t>LU1650491282</t>
  </si>
  <si>
    <t>ORO</t>
  </si>
  <si>
    <t>8PSG</t>
  </si>
  <si>
    <t>Invesco Physical Gold A</t>
  </si>
  <si>
    <t>IE00B579F325</t>
  </si>
  <si>
    <t>Invesco</t>
  </si>
  <si>
    <t>PPFB</t>
  </si>
  <si>
    <t>iShares Physical Gold ETC</t>
  </si>
  <si>
    <t>IE00B4ND3602</t>
  </si>
  <si>
    <t>Solo las celdas con este color se pueden modificar poniendo el capital actual en cada región o tipo de activo</t>
  </si>
  <si>
    <t xml:space="preserve">Capital Actual </t>
  </si>
  <si>
    <t xml:space="preserve">*El capital que suma todas las posiciones de la cartera </t>
  </si>
  <si>
    <t>Aportación</t>
  </si>
  <si>
    <t>* Aportación que quieres hacer a la cartera</t>
  </si>
  <si>
    <t>RIESGO</t>
  </si>
  <si>
    <t>Capital Final</t>
  </si>
  <si>
    <t>* Capital final que quedará después de realizar la aportación</t>
  </si>
  <si>
    <t>Cartera</t>
  </si>
  <si>
    <t>Pesos</t>
  </si>
  <si>
    <t xml:space="preserve">Región </t>
  </si>
  <si>
    <t>Valor € Actual</t>
  </si>
  <si>
    <t>Peso Objetivo</t>
  </si>
  <si>
    <t>Peso Actual</t>
  </si>
  <si>
    <t>Valor € Objetivo</t>
  </si>
  <si>
    <t>Comprar/Vender</t>
  </si>
  <si>
    <t>GLOBAL</t>
  </si>
  <si>
    <t>Emergente</t>
  </si>
  <si>
    <t>Total Renta Variable</t>
  </si>
  <si>
    <t xml:space="preserve">          </t>
  </si>
  <si>
    <t>Renta Fija</t>
  </si>
  <si>
    <t>Tipo</t>
  </si>
  <si>
    <t>Gubernamental</t>
  </si>
  <si>
    <t>Duración Mod.</t>
  </si>
  <si>
    <t xml:space="preserve">High Yield </t>
  </si>
  <si>
    <t>Total Renta Fija</t>
  </si>
  <si>
    <t>Oro</t>
  </si>
  <si>
    <t>Activo</t>
  </si>
  <si>
    <t>Total Oro</t>
  </si>
  <si>
    <t>TOTAL</t>
  </si>
  <si>
    <t xml:space="preserve">Fondo Monetario que sirve para acumular liquidez </t>
  </si>
  <si>
    <t>Fondo</t>
  </si>
  <si>
    <t>FR0000447823</t>
  </si>
  <si>
    <t>AXA Trésor Court Terme C</t>
  </si>
  <si>
    <t>Monetario</t>
  </si>
  <si>
    <t>MSCI Staple</t>
  </si>
  <si>
    <t>MSCI Health Care</t>
  </si>
  <si>
    <t>MSCI Technology</t>
  </si>
  <si>
    <t>MSCI Energy</t>
  </si>
  <si>
    <t>Global Real Estate</t>
  </si>
  <si>
    <t>MSCI Utilities</t>
  </si>
  <si>
    <t xml:space="preserve">  </t>
  </si>
  <si>
    <t>Volatilidad Objetivo (1DE)</t>
  </si>
  <si>
    <t>Tabla de rentabilidad y volatilidad objetivo en función del perfil de riesgo con el tiempo mínimo y máximo estimado der recuperación</t>
  </si>
  <si>
    <t>Cisne Negro (-3*DE)</t>
  </si>
  <si>
    <t>Rentabilidad para recuperar</t>
  </si>
  <si>
    <t>Rentabilidad estimada después de CN</t>
  </si>
  <si>
    <t>Años Para recupar</t>
  </si>
  <si>
    <t>Rentabilidad esperada Indexa Capital</t>
  </si>
  <si>
    <t>Pesos por Clase</t>
  </si>
  <si>
    <t>Tabla con distribución de pesos por clase de activo en función de su perfil de riesgo</t>
  </si>
  <si>
    <t>Renta Variable MSCI ACWI</t>
  </si>
  <si>
    <t>Tabla con distribución de pesos por área geográfica según MSCI ACWI</t>
  </si>
  <si>
    <t>Tabla con distribución de peso relativos por área geográfica según el MSCI ACWI por perfil de riesgo.</t>
  </si>
  <si>
    <t>Renta Fija Peso Relativo Cartera</t>
  </si>
  <si>
    <t>Tabla con distribución de pesos por tipo de renta fija por perfil de riesgo.</t>
  </si>
  <si>
    <t xml:space="preserve"> </t>
  </si>
  <si>
    <t>Cisne Negro</t>
  </si>
  <si>
    <t>Tabla de distribución de peso por sector</t>
  </si>
  <si>
    <t>Tabla con distribución de peso relativos por sector en función del perfil de riesgo.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</si>
</sst>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_ ;[Red]\-#,##0.00\ "/>
    <numFmt numFmtId="165" formatCode="_-* #,##0.00_-;\-* #,##0.00_-;_-* &quot;-&quot;??_-;_-@"/>
    <numFmt numFmtId="166" formatCode="_-* #,##0_-;\-* #,##0_-;_-* &quot;-&quot;??_-;_-@"/>
    <numFmt numFmtId="167" formatCode="_-* #,##0.00\ _€_-;\-* #,##0.00\ _€_-;_-* &quot;-&quot;??\ _€_-;_-@"/>
    <numFmt numFmtId="168" formatCode="0.0%"/>
  </numFmts>
  <fonts count="35">
    <font>
      <sz val="11.0"/>
      <color theme="1"/>
      <name val="Aptos Narrow"/>
      <scheme val="minor"/>
    </font>
    <font>
      <sz val="11.0"/>
      <color theme="1"/>
      <name val="Aptos Narrow"/>
    </font>
    <font>
      <b/>
      <sz val="14.0"/>
      <color theme="1"/>
      <name val="Aptos Narrow"/>
    </font>
    <font>
      <sz val="11.0"/>
      <color rgb="FF000000"/>
      <name val="Aptos Narrow"/>
    </font>
    <font>
      <b/>
      <sz val="11.0"/>
      <color theme="1"/>
      <name val="Aptos Narrow"/>
    </font>
    <font>
      <color theme="1"/>
      <name val="Aptos Narrow"/>
      <scheme val="minor"/>
    </font>
    <font>
      <b/>
      <u/>
      <sz val="11.0"/>
      <color theme="1"/>
      <name val="Aptos Narrow"/>
    </font>
    <font>
      <u/>
      <sz val="11.0"/>
      <color rgb="FF0000FF"/>
      <name val="Arial"/>
    </font>
    <font>
      <u/>
      <sz val="11.0"/>
      <color rgb="FF0000FF"/>
      <name val="Arial"/>
    </font>
    <font>
      <u/>
      <sz val="11.0"/>
      <color rgb="FF0000FF"/>
      <name val="Arial"/>
    </font>
    <font>
      <sz val="11.0"/>
      <color theme="1"/>
      <name val="Arial"/>
    </font>
    <font>
      <u/>
      <sz val="11.0"/>
      <color theme="10"/>
      <name val="Aptos Narrow"/>
    </font>
    <font>
      <u/>
      <sz val="11.0"/>
      <color theme="10"/>
      <name val="Aptos Narrow"/>
    </font>
    <font>
      <sz val="11.0"/>
      <color theme="0"/>
      <name val="Aptos Narrow"/>
    </font>
    <font>
      <u/>
      <sz val="11.0"/>
      <color theme="0"/>
      <name val="Aptos Narrow"/>
    </font>
    <font>
      <sz val="11.0"/>
      <color rgb="FFFFFFFF"/>
      <name val="Arial"/>
    </font>
    <font>
      <u/>
      <sz val="11.0"/>
      <color rgb="FF0000FF"/>
      <name val="Arial"/>
    </font>
    <font>
      <sz val="9.0"/>
      <color theme="1"/>
      <name val="Aptos Narrow"/>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sz val="11.0"/>
      <color rgb="FFFF0000"/>
      <name val="Aptos Narrow"/>
    </font>
    <font>
      <sz val="11.0"/>
      <color rgb="FFFF0000"/>
      <name val="Arial"/>
    </font>
    <font>
      <b/>
      <sz val="11.0"/>
      <color theme="1"/>
      <name val="Arial"/>
    </font>
    <font>
      <sz val="11.0"/>
      <color theme="1"/>
      <name val="Calibri"/>
    </font>
    <font/>
    <font>
      <color theme="1"/>
      <name val="Arial"/>
    </font>
    <font>
      <b/>
      <sz val="12.0"/>
      <color theme="1"/>
      <name val="Aptos Narrow"/>
    </font>
    <font>
      <sz val="12.0"/>
      <color theme="1"/>
      <name val="Aptos Narrow"/>
    </font>
    <font>
      <b/>
      <color theme="1"/>
      <name val="Arial"/>
    </font>
    <font>
      <b/>
      <sz val="12.0"/>
      <color theme="1"/>
      <name val="Arial"/>
    </font>
    <font>
      <sz val="6.0"/>
      <color theme="1"/>
      <name val="Aptos Narrow"/>
      <scheme val="minor"/>
    </font>
  </fonts>
  <fills count="25">
    <fill>
      <patternFill patternType="none"/>
    </fill>
    <fill>
      <patternFill patternType="lightGray"/>
    </fill>
    <fill>
      <patternFill patternType="solid">
        <fgColor rgb="FFF2F2F2"/>
        <bgColor rgb="FFF2F2F2"/>
      </patternFill>
    </fill>
    <fill>
      <patternFill patternType="solid">
        <fgColor rgb="FFFFFF00"/>
        <bgColor rgb="FFFFFF00"/>
      </patternFill>
    </fill>
    <fill>
      <patternFill patternType="solid">
        <fgColor rgb="FF95DCF7"/>
        <bgColor rgb="FF95DCF7"/>
      </patternFill>
    </fill>
    <fill>
      <patternFill patternType="solid">
        <fgColor rgb="FF45B0E1"/>
        <bgColor rgb="FF45B0E1"/>
      </patternFill>
    </fill>
    <fill>
      <patternFill patternType="solid">
        <fgColor rgb="FF8ED873"/>
        <bgColor rgb="FF8ED873"/>
      </patternFill>
    </fill>
    <fill>
      <patternFill patternType="solid">
        <fgColor theme="9"/>
        <bgColor theme="9"/>
      </patternFill>
    </fill>
    <fill>
      <patternFill patternType="solid">
        <fgColor theme="7"/>
        <bgColor theme="7"/>
      </patternFill>
    </fill>
    <fill>
      <patternFill patternType="solid">
        <fgColor rgb="FFCAEDFB"/>
        <bgColor rgb="FFCAEDFB"/>
      </patternFill>
    </fill>
    <fill>
      <patternFill patternType="solid">
        <fgColor rgb="FF83CAEB"/>
        <bgColor rgb="FF83CAEB"/>
      </patternFill>
    </fill>
    <fill>
      <patternFill patternType="solid">
        <fgColor rgb="FFB3E5A1"/>
        <bgColor rgb="FFB3E5A1"/>
      </patternFill>
    </fill>
    <fill>
      <patternFill patternType="solid">
        <fgColor rgb="FFD9F2D0"/>
        <bgColor rgb="FFD9F2D0"/>
      </patternFill>
    </fill>
    <fill>
      <patternFill patternType="solid">
        <fgColor theme="5"/>
        <bgColor theme="5"/>
      </patternFill>
    </fill>
    <fill>
      <patternFill patternType="solid">
        <fgColor rgb="FFF2F2DE"/>
        <bgColor rgb="FFF2F2DE"/>
      </patternFill>
    </fill>
    <fill>
      <patternFill patternType="solid">
        <fgColor rgb="FFFFFFCC"/>
        <bgColor rgb="FFFFFFCC"/>
      </patternFill>
    </fill>
    <fill>
      <patternFill patternType="solid">
        <fgColor rgb="FFC1E4F5"/>
        <bgColor rgb="FFC1E4F5"/>
      </patternFill>
    </fill>
    <fill>
      <patternFill patternType="solid">
        <fgColor theme="4"/>
        <bgColor theme="4"/>
      </patternFill>
    </fill>
    <fill>
      <patternFill patternType="solid">
        <fgColor theme="6"/>
        <bgColor theme="6"/>
      </patternFill>
    </fill>
    <fill>
      <patternFill patternType="solid">
        <fgColor rgb="FF47D45A"/>
        <bgColor rgb="FF47D45A"/>
      </patternFill>
    </fill>
    <fill>
      <patternFill patternType="solid">
        <fgColor rgb="FF84E291"/>
        <bgColor rgb="FF84E291"/>
      </patternFill>
    </fill>
    <fill>
      <patternFill patternType="solid">
        <fgColor rgb="FFC1F0C8"/>
        <bgColor rgb="FFC1F0C8"/>
      </patternFill>
    </fill>
    <fill>
      <patternFill patternType="solid">
        <fgColor rgb="FFBF4F14"/>
        <bgColor rgb="FFBF4F14"/>
      </patternFill>
    </fill>
    <fill>
      <patternFill patternType="solid">
        <fgColor rgb="FFF1A983"/>
        <bgColor rgb="FFF1A983"/>
      </patternFill>
    </fill>
    <fill>
      <patternFill patternType="solid">
        <fgColor theme="8"/>
        <bgColor theme="8"/>
      </patternFill>
    </fill>
  </fills>
  <borders count="48">
    <border/>
    <border>
      <left style="thin">
        <color rgb="FF8ED873"/>
      </left>
      <top style="thin">
        <color rgb="FF8ED873"/>
      </top>
      <bottom style="thin">
        <color rgb="FF8ED873"/>
      </bottom>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thin">
        <color rgb="FF8ED873"/>
      </top>
      <bottom style="thin">
        <color rgb="FF8ED873"/>
      </bottom>
    </border>
    <border>
      <bottom style="medium">
        <color rgb="FF000000"/>
      </bottom>
    </border>
    <border>
      <left style="medium">
        <color rgb="FFFF0000"/>
      </left>
      <right style="medium">
        <color rgb="FFFF0000"/>
      </right>
      <top/>
      <bottom/>
    </border>
    <border>
      <left style="thin">
        <color rgb="FFB2B2B2"/>
      </left>
      <right/>
      <top style="thin">
        <color rgb="FFB2B2B2"/>
      </top>
      <bottom style="thin">
        <color rgb="FFB2B2B2"/>
      </bottom>
    </border>
    <border>
      <left/>
      <right style="thin">
        <color rgb="FFB2B2B2"/>
      </right>
      <top style="thin">
        <color rgb="FFB2B2B2"/>
      </top>
      <bottom style="thin">
        <color rgb="FFB2B2B2"/>
      </bottom>
    </border>
    <border>
      <left style="medium">
        <color rgb="FF000000"/>
      </left>
      <right/>
      <top style="medium">
        <color rgb="FF000000"/>
      </top>
      <bottom/>
    </border>
    <border>
      <left/>
      <right style="medium">
        <color rgb="FF000000"/>
      </right>
      <top style="medium">
        <color rgb="FF000000"/>
      </top>
      <bottom/>
    </border>
    <border>
      <left style="medium">
        <color rgb="FFFF0000"/>
      </left>
      <right style="medium">
        <color rgb="FFFF0000"/>
      </right>
      <top style="medium">
        <color rgb="FFFF0000"/>
      </top>
      <bottom style="thick">
        <color rgb="FF000000"/>
      </bottom>
    </border>
    <border>
      <left style="medium">
        <color rgb="FF000000"/>
      </left>
      <right/>
      <top/>
      <bottom/>
    </border>
    <border>
      <left/>
      <right style="medium">
        <color rgb="FF000000"/>
      </right>
      <top/>
      <bottom/>
    </border>
    <border>
      <left style="medium">
        <color rgb="FFFF0000"/>
      </left>
      <right style="medium">
        <color rgb="FFFF0000"/>
      </right>
      <top style="thick">
        <color rgb="FF000000"/>
      </top>
      <bottom style="medium">
        <color rgb="FFFF0000"/>
      </bottom>
    </border>
    <border>
      <left style="medium">
        <color rgb="FF000000"/>
      </left>
      <right/>
      <top/>
      <bottom style="medium">
        <color rgb="FF000000"/>
      </bottom>
    </border>
    <border>
      <left/>
      <right style="medium">
        <color rgb="FF000000"/>
      </right>
      <top/>
      <bottom style="medium">
        <color rgb="FF000000"/>
      </bottom>
    </border>
    <border>
      <left style="medium">
        <color rgb="FFFF0000"/>
      </left>
      <right style="medium">
        <color rgb="FFFF0000"/>
      </right>
      <top style="medium">
        <color rgb="FFFF0000"/>
      </top>
      <bottom style="medium">
        <color rgb="FF000000"/>
      </bottom>
    </border>
    <border>
      <left/>
      <right/>
      <top style="medium">
        <color rgb="FF000000"/>
      </top>
      <bottom style="medium">
        <color rgb="FF000000"/>
      </bottom>
    </border>
    <border>
      <left style="medium">
        <color rgb="FFFF0000"/>
      </left>
      <right style="medium">
        <color rgb="FFFF0000"/>
      </right>
      <top style="medium">
        <color rgb="FFFF0000"/>
      </top>
    </border>
    <border>
      <left style="medium">
        <color rgb="FFFF0000"/>
      </left>
      <right style="medium">
        <color rgb="FFFF0000"/>
      </right>
      <top/>
      <bottom style="medium">
        <color rgb="FFFF0000"/>
      </bottom>
    </border>
    <border>
      <left style="medium">
        <color rgb="FFFF0000"/>
      </left>
      <right style="medium">
        <color rgb="FFFF0000"/>
      </right>
      <top style="medium">
        <color rgb="FFFF0000"/>
      </top>
      <bottom/>
    </border>
    <border>
      <left style="medium">
        <color rgb="FFFF0000"/>
      </left>
      <right style="medium">
        <color rgb="FFFF0000"/>
      </right>
      <top style="medium">
        <color rgb="FFFF0000"/>
      </top>
      <bottom style="thin">
        <color rgb="FFFF0000"/>
      </bottom>
    </border>
    <border>
      <top style="medium">
        <color rgb="FF000000"/>
      </top>
    </border>
    <border>
      <top style="thin">
        <color rgb="FFFF0000"/>
      </top>
    </border>
    <border>
      <left style="medium">
        <color rgb="FFFF0000"/>
      </left>
      <right style="medium">
        <color rgb="FFFF0000"/>
      </right>
      <top style="thin">
        <color rgb="FFFF0000"/>
      </top>
      <bottom/>
    </border>
    <border>
      <left/>
      <right/>
      <top/>
      <bottom style="medium">
        <color rgb="FF000000"/>
      </bottom>
    </border>
    <border>
      <left/>
      <right style="medium">
        <color rgb="FF000000"/>
      </right>
      <top style="medium">
        <color rgb="FF000000"/>
      </top>
      <bottom style="medium">
        <color rgb="FF000000"/>
      </bottom>
    </border>
    <border>
      <left style="medium">
        <color rgb="FFFF0000"/>
      </left>
      <right style="medium">
        <color rgb="FFFF0000"/>
      </right>
      <top style="thick">
        <color rgb="FF000000"/>
      </top>
      <bottom/>
    </border>
    <border>
      <top style="thin">
        <color rgb="FFFF0000"/>
      </top>
      <bottom style="medium">
        <color rgb="FF000000"/>
      </bottom>
    </border>
    <border>
      <left style="thin">
        <color rgb="FFB2B2B2"/>
      </left>
      <top style="thin">
        <color rgb="FFB2B2B2"/>
      </top>
      <bottom style="thin">
        <color rgb="FFB2B2B2"/>
      </bottom>
    </border>
    <border>
      <right style="thin">
        <color rgb="FFB2B2B2"/>
      </right>
      <top style="thin">
        <color rgb="FFB2B2B2"/>
      </top>
      <bottom style="thin">
        <color rgb="FFB2B2B2"/>
      </bottom>
    </border>
    <border>
      <left style="medium">
        <color rgb="FFFF0000"/>
      </left>
      <right style="medium">
        <color rgb="FFFF0000"/>
      </right>
      <top style="medium">
        <color rgb="FFFF0000"/>
      </top>
      <bottom style="medium">
        <color rgb="FFFF0000"/>
      </bottom>
    </border>
    <border>
      <left style="medium">
        <color rgb="FFFF0000"/>
      </left>
      <right style="medium">
        <color rgb="FFFF0000"/>
      </right>
      <top style="thin">
        <color rgb="FFFF0000"/>
      </top>
      <bottom style="medium">
        <color rgb="FFFF0000"/>
      </bottom>
    </border>
    <border>
      <left style="thin">
        <color rgb="FF000000"/>
      </left>
      <right/>
      <top style="thin">
        <color rgb="FF000000"/>
      </top>
      <bottom/>
    </border>
    <border>
      <left/>
      <right style="thin">
        <color rgb="FF000000"/>
      </right>
      <top style="thin">
        <color rgb="FF000000"/>
      </top>
      <bottom/>
    </border>
    <border>
      <left style="thin">
        <color rgb="FF000000"/>
      </left>
      <right/>
      <top/>
    </border>
    <border>
      <left/>
      <right style="thin">
        <color rgb="FF000000"/>
      </right>
      <top/>
      <bottom/>
    </border>
    <border>
      <left style="medium">
        <color rgb="FFFF0000"/>
      </left>
      <right style="medium">
        <color rgb="FFFF0000"/>
      </right>
      <top/>
    </border>
    <border>
      <left style="thin">
        <color rgb="FF000000"/>
      </left>
    </border>
    <border>
      <right style="thin">
        <color rgb="FF000000"/>
      </right>
      <top/>
      <bottom/>
    </border>
    <border>
      <left style="medium">
        <color rgb="FFFF0000"/>
      </left>
      <right style="medium">
        <color rgb="FFFF0000"/>
      </right>
      <top style="thin">
        <color rgb="FFFF0000"/>
      </top>
    </border>
    <border>
      <left style="thin">
        <color rgb="FF000000"/>
      </left>
      <right/>
    </border>
    <border>
      <left style="thin">
        <color rgb="FF000000"/>
      </left>
      <bottom style="thin">
        <color rgb="FF000000"/>
      </bottom>
    </border>
    <border>
      <right style="thin">
        <color rgb="FF000000"/>
      </right>
      <top/>
      <bottom style="thin">
        <color rgb="FF000000"/>
      </bottom>
    </border>
    <border>
      <top style="medium">
        <color rgb="FF000000"/>
      </top>
      <bottom style="medium">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shrinkToFit="0" wrapText="1"/>
    </xf>
    <xf borderId="1" fillId="0" fontId="4" numFmtId="0" xfId="0" applyAlignment="1" applyBorder="1" applyFont="1">
      <alignment vertical="center"/>
    </xf>
    <xf borderId="0" fillId="0" fontId="4" numFmtId="0" xfId="0" applyAlignment="1" applyFont="1">
      <alignment horizontal="center" vertical="center"/>
    </xf>
    <xf borderId="0" fillId="0" fontId="1" numFmtId="0" xfId="0" applyAlignment="1" applyFont="1">
      <alignment horizontal="left" vertical="center"/>
    </xf>
    <xf borderId="0" fillId="0" fontId="4" numFmtId="0" xfId="0" applyFont="1"/>
    <xf borderId="2" fillId="2" fontId="1" numFmtId="0" xfId="0" applyAlignment="1" applyBorder="1" applyFill="1" applyFont="1">
      <alignment horizontal="left" shrinkToFit="0" vertical="center" wrapText="1"/>
    </xf>
    <xf borderId="0" fillId="0" fontId="1" numFmtId="0" xfId="0" applyAlignment="1" applyFont="1">
      <alignment horizontal="center" vertical="center"/>
    </xf>
    <xf borderId="0" fillId="0" fontId="4" numFmtId="0" xfId="0" applyAlignment="1" applyFont="1">
      <alignment horizontal="left" vertical="center"/>
    </xf>
    <xf borderId="2" fillId="2" fontId="1" numFmtId="0" xfId="0" applyAlignment="1" applyBorder="1" applyFont="1">
      <alignment horizontal="left" vertical="center"/>
    </xf>
    <xf borderId="0" fillId="0" fontId="5" numFmtId="0" xfId="0" applyFont="1"/>
    <xf borderId="3" fillId="0" fontId="4" numFmtId="0" xfId="0" applyBorder="1" applyFont="1"/>
    <xf borderId="4" fillId="0" fontId="4" numFmtId="0" xfId="0" applyBorder="1" applyFont="1"/>
    <xf borderId="4" fillId="0" fontId="4" numFmtId="0" xfId="0" applyAlignment="1" applyBorder="1" applyFont="1">
      <alignment horizontal="center"/>
    </xf>
    <xf borderId="0" fillId="0" fontId="4" numFmtId="0" xfId="0" applyAlignment="1" applyFont="1">
      <alignment horizontal="right"/>
    </xf>
    <xf borderId="5" fillId="3" fontId="2" numFmtId="0" xfId="0" applyAlignment="1" applyBorder="1" applyFill="1" applyFont="1">
      <alignment horizontal="center"/>
    </xf>
    <xf borderId="5" fillId="0"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6" fillId="0" fontId="1" numFmtId="0" xfId="0" applyAlignment="1" applyBorder="1" applyFont="1">
      <alignment horizontal="center"/>
    </xf>
    <xf borderId="6" fillId="0" fontId="4" numFmtId="0" xfId="0" applyAlignment="1" applyBorder="1" applyFont="1">
      <alignment horizontal="center"/>
    </xf>
    <xf borderId="0" fillId="0" fontId="6" numFmtId="0" xfId="0" applyFont="1"/>
    <xf borderId="7" fillId="0" fontId="4" numFmtId="0" xfId="0" applyBorder="1" applyFont="1"/>
    <xf borderId="2" fillId="4" fontId="1" numFmtId="0" xfId="0" applyBorder="1" applyFill="1" applyFont="1"/>
    <xf borderId="2" fillId="4" fontId="7" numFmtId="0" xfId="0" applyAlignment="1" applyBorder="1" applyFont="1">
      <alignment readingOrder="0"/>
    </xf>
    <xf borderId="2" fillId="4" fontId="1" numFmtId="10" xfId="0" applyBorder="1" applyFont="1" applyNumberFormat="1"/>
    <xf borderId="0" fillId="0" fontId="1" numFmtId="9" xfId="0" applyFont="1" applyNumberFormat="1"/>
    <xf borderId="2" fillId="5" fontId="1" numFmtId="0" xfId="0" applyBorder="1" applyFill="1" applyFont="1"/>
    <xf borderId="2" fillId="5" fontId="8" numFmtId="0" xfId="0" applyAlignment="1" applyBorder="1" applyFont="1">
      <alignment readingOrder="0"/>
    </xf>
    <xf borderId="2" fillId="5" fontId="1" numFmtId="10" xfId="0" applyBorder="1" applyFont="1" applyNumberFormat="1"/>
    <xf borderId="2" fillId="3" fontId="1" numFmtId="0" xfId="0" applyBorder="1" applyFont="1"/>
    <xf borderId="0" fillId="0" fontId="1" numFmtId="10" xfId="0" applyFont="1" applyNumberFormat="1"/>
    <xf borderId="2" fillId="6" fontId="1" numFmtId="0" xfId="0" applyBorder="1" applyFill="1" applyFont="1"/>
    <xf borderId="2" fillId="6" fontId="9" numFmtId="0" xfId="0" applyAlignment="1" applyBorder="1" applyFont="1">
      <alignment readingOrder="0"/>
    </xf>
    <xf borderId="2" fillId="6" fontId="1" numFmtId="10" xfId="0" applyBorder="1" applyFont="1" applyNumberFormat="1"/>
    <xf borderId="2" fillId="6" fontId="10" numFmtId="0" xfId="0" applyAlignment="1" applyBorder="1" applyFont="1">
      <alignment readingOrder="0"/>
    </xf>
    <xf borderId="0" fillId="0" fontId="11" numFmtId="0" xfId="0" applyFont="1"/>
    <xf borderId="0" fillId="0" fontId="12" numFmtId="0" xfId="0" applyAlignment="1" applyFont="1">
      <alignment horizontal="left" shrinkToFit="0" vertical="center" wrapText="1"/>
    </xf>
    <xf borderId="2" fillId="7" fontId="13" numFmtId="0" xfId="0" applyBorder="1" applyFill="1" applyFont="1"/>
    <xf borderId="2" fillId="7" fontId="14" numFmtId="0" xfId="0" applyBorder="1" applyFont="1"/>
    <xf borderId="2" fillId="7" fontId="15" numFmtId="0" xfId="0" applyAlignment="1" applyBorder="1" applyFont="1">
      <alignment readingOrder="0"/>
    </xf>
    <xf borderId="2" fillId="7" fontId="16" numFmtId="0" xfId="0" applyAlignment="1" applyBorder="1" applyFont="1">
      <alignment readingOrder="0"/>
    </xf>
    <xf borderId="2" fillId="7" fontId="13" numFmtId="10" xfId="0" applyBorder="1" applyFont="1" applyNumberFormat="1"/>
    <xf borderId="0" fillId="0" fontId="17" numFmtId="0" xfId="0" applyAlignment="1" applyFont="1">
      <alignment horizontal="center" shrinkToFit="0" textRotation="45" vertical="center" wrapText="1"/>
    </xf>
    <xf borderId="2" fillId="4" fontId="1" numFmtId="9" xfId="0" applyBorder="1" applyFont="1" applyNumberFormat="1"/>
    <xf borderId="0" fillId="0" fontId="1" numFmtId="0" xfId="0" applyAlignment="1" applyFont="1">
      <alignment horizontal="center" textRotation="45" vertical="center"/>
    </xf>
    <xf borderId="2" fillId="8" fontId="13" numFmtId="0" xfId="0" applyBorder="1" applyFill="1" applyFont="1"/>
    <xf borderId="2" fillId="8" fontId="18" numFmtId="0" xfId="0" applyAlignment="1" applyBorder="1" applyFont="1">
      <alignment readingOrder="0"/>
    </xf>
    <xf borderId="2" fillId="8" fontId="13" numFmtId="10" xfId="0" applyBorder="1" applyFont="1" applyNumberFormat="1"/>
    <xf borderId="2" fillId="8" fontId="13" numFmtId="9" xfId="0" applyBorder="1" applyFont="1" applyNumberFormat="1"/>
    <xf borderId="2" fillId="9" fontId="1" numFmtId="0" xfId="0" applyBorder="1" applyFill="1" applyFont="1"/>
    <xf borderId="2" fillId="9" fontId="1" numFmtId="9" xfId="0" applyBorder="1" applyFont="1" applyNumberFormat="1"/>
    <xf borderId="2" fillId="9" fontId="19" numFmtId="0" xfId="0" applyAlignment="1" applyBorder="1" applyFont="1">
      <alignment readingOrder="0"/>
    </xf>
    <xf borderId="2" fillId="9" fontId="1" numFmtId="10" xfId="0" applyBorder="1" applyFont="1" applyNumberFormat="1"/>
    <xf borderId="2" fillId="10" fontId="1" numFmtId="0" xfId="0" applyBorder="1" applyFill="1" applyFont="1"/>
    <xf borderId="2" fillId="10" fontId="1" numFmtId="9" xfId="0" applyBorder="1" applyFont="1" applyNumberFormat="1"/>
    <xf borderId="2" fillId="10" fontId="20" numFmtId="0" xfId="0" applyAlignment="1" applyBorder="1" applyFont="1">
      <alignment readingOrder="0"/>
    </xf>
    <xf borderId="2" fillId="10" fontId="1" numFmtId="10" xfId="0" applyBorder="1" applyFont="1" applyNumberFormat="1"/>
    <xf borderId="2" fillId="11" fontId="1" numFmtId="0" xfId="0" applyBorder="1" applyFill="1" applyFont="1"/>
    <xf borderId="2" fillId="11" fontId="21" numFmtId="0" xfId="0" applyAlignment="1" applyBorder="1" applyFont="1">
      <alignment readingOrder="0"/>
    </xf>
    <xf borderId="2" fillId="11" fontId="1" numFmtId="10" xfId="0" applyBorder="1" applyFont="1" applyNumberFormat="1"/>
    <xf borderId="2" fillId="11" fontId="10" numFmtId="0" xfId="0" applyAlignment="1" applyBorder="1" applyFont="1">
      <alignment readingOrder="0"/>
    </xf>
    <xf borderId="2" fillId="12" fontId="1" numFmtId="0" xfId="0" applyBorder="1" applyFill="1" applyFont="1"/>
    <xf borderId="2" fillId="12" fontId="22" numFmtId="0" xfId="0" applyAlignment="1" applyBorder="1" applyFont="1">
      <alignment readingOrder="0"/>
    </xf>
    <xf borderId="2" fillId="12" fontId="1" numFmtId="10" xfId="0" applyBorder="1" applyFont="1" applyNumberFormat="1"/>
    <xf borderId="0" fillId="0" fontId="1" numFmtId="0" xfId="0" applyAlignment="1" applyFont="1">
      <alignment textRotation="45" vertical="center"/>
    </xf>
    <xf borderId="2" fillId="13" fontId="13" numFmtId="0" xfId="0" applyBorder="1" applyFill="1" applyFont="1"/>
    <xf borderId="2" fillId="13" fontId="23" numFmtId="0" xfId="0" applyAlignment="1" applyBorder="1" applyFont="1">
      <alignment readingOrder="0"/>
    </xf>
    <xf borderId="2" fillId="13" fontId="13" numFmtId="10" xfId="0" applyBorder="1" applyFont="1" applyNumberFormat="1"/>
    <xf borderId="0" fillId="0" fontId="1" numFmtId="164" xfId="0" applyFont="1" applyNumberFormat="1"/>
    <xf borderId="8" fillId="14" fontId="24" numFmtId="165" xfId="0" applyBorder="1" applyFill="1" applyFont="1" applyNumberFormat="1"/>
    <xf borderId="2" fillId="14" fontId="25" numFmtId="165" xfId="0" applyAlignment="1" applyBorder="1" applyFont="1" applyNumberFormat="1">
      <alignment readingOrder="0"/>
    </xf>
    <xf borderId="9" fillId="15" fontId="1" numFmtId="0" xfId="0" applyAlignment="1" applyBorder="1" applyFill="1" applyFont="1">
      <alignment horizontal="left"/>
    </xf>
    <xf borderId="10" fillId="15" fontId="1" numFmtId="0" xfId="0" applyAlignment="1" applyBorder="1" applyFont="1">
      <alignment horizontal="left"/>
    </xf>
    <xf borderId="5" fillId="3" fontId="26" numFmtId="166" xfId="0" applyAlignment="1" applyBorder="1" applyFont="1" applyNumberFormat="1">
      <alignment readingOrder="0"/>
    </xf>
    <xf borderId="5" fillId="16" fontId="1" numFmtId="0" xfId="0" applyBorder="1" applyFill="1" applyFont="1"/>
    <xf borderId="5" fillId="16" fontId="4" numFmtId="165" xfId="0" applyBorder="1" applyFont="1" applyNumberFormat="1"/>
    <xf borderId="2" fillId="17" fontId="13" numFmtId="0" xfId="0" applyBorder="1" applyFill="1" applyFont="1"/>
    <xf borderId="2" fillId="17" fontId="13" numFmtId="165" xfId="0" applyBorder="1" applyFont="1" applyNumberFormat="1"/>
    <xf borderId="5" fillId="17" fontId="13" numFmtId="9" xfId="0" applyBorder="1" applyFont="1" applyNumberFormat="1"/>
    <xf borderId="0" fillId="0" fontId="1" numFmtId="165" xfId="0" applyFont="1" applyNumberFormat="1"/>
    <xf borderId="11" fillId="17" fontId="13" numFmtId="0" xfId="0" applyBorder="1" applyFont="1"/>
    <xf borderId="12" fillId="17" fontId="13" numFmtId="9" xfId="0" applyBorder="1" applyFont="1" applyNumberFormat="1"/>
    <xf borderId="13" fillId="0" fontId="4" numFmtId="0" xfId="0" applyBorder="1" applyFont="1"/>
    <xf borderId="7" fillId="0" fontId="4" numFmtId="164" xfId="0" applyBorder="1" applyFont="1" applyNumberFormat="1"/>
    <xf borderId="14" fillId="5" fontId="10" numFmtId="0" xfId="0" applyAlignment="1" applyBorder="1" applyFont="1">
      <alignment readingOrder="0"/>
    </xf>
    <xf borderId="15" fillId="5" fontId="10" numFmtId="9" xfId="0" applyAlignment="1" applyBorder="1" applyFont="1" applyNumberFormat="1">
      <alignment readingOrder="0"/>
    </xf>
    <xf borderId="16" fillId="14" fontId="25" numFmtId="165" xfId="0" applyAlignment="1" applyBorder="1" applyFont="1" applyNumberFormat="1">
      <alignment readingOrder="0"/>
    </xf>
    <xf borderId="0" fillId="0" fontId="1" numFmtId="167" xfId="0" applyFont="1" applyNumberFormat="1"/>
    <xf borderId="17" fillId="10" fontId="10" numFmtId="0" xfId="0" applyAlignment="1" applyBorder="1" applyFont="1">
      <alignment readingOrder="0"/>
    </xf>
    <xf borderId="18" fillId="10" fontId="10" numFmtId="9" xfId="0" applyAlignment="1" applyBorder="1" applyFont="1" applyNumberFormat="1">
      <alignment readingOrder="0"/>
    </xf>
    <xf borderId="2" fillId="16" fontId="1" numFmtId="0" xfId="0" applyBorder="1" applyFont="1"/>
    <xf borderId="19" fillId="14" fontId="25" numFmtId="165" xfId="0" applyAlignment="1" applyBorder="1" applyFont="1" applyNumberFormat="1">
      <alignment readingOrder="0"/>
    </xf>
    <xf borderId="0" fillId="0" fontId="1" numFmtId="168" xfId="0" applyFont="1" applyNumberFormat="1"/>
    <xf borderId="17" fillId="5" fontId="1" numFmtId="0" xfId="0" applyBorder="1" applyFont="1"/>
    <xf borderId="20" fillId="5" fontId="1" numFmtId="0" xfId="0" applyBorder="1" applyFont="1"/>
    <xf borderId="5" fillId="5" fontId="1" numFmtId="165" xfId="0" applyBorder="1" applyFont="1" applyNumberFormat="1"/>
    <xf borderId="20" fillId="5" fontId="1" numFmtId="10" xfId="0" applyBorder="1" applyFont="1" applyNumberFormat="1"/>
    <xf borderId="20" fillId="5" fontId="1" numFmtId="165" xfId="0" applyBorder="1" applyFont="1" applyNumberFormat="1"/>
    <xf borderId="14" fillId="7" fontId="13" numFmtId="0" xfId="0" applyBorder="1" applyFont="1"/>
    <xf borderId="15" fillId="7" fontId="13" numFmtId="9" xfId="0" applyBorder="1" applyFont="1" applyNumberFormat="1"/>
    <xf borderId="2" fillId="7" fontId="13" numFmtId="165" xfId="0" applyBorder="1" applyFont="1" applyNumberFormat="1"/>
    <xf borderId="2" fillId="7" fontId="13" numFmtId="9" xfId="0" applyBorder="1" applyFont="1" applyNumberFormat="1"/>
    <xf borderId="21" fillId="0" fontId="4" numFmtId="0" xfId="0" applyBorder="1" applyFont="1"/>
    <xf borderId="14" fillId="18" fontId="13" numFmtId="0" xfId="0" applyBorder="1" applyFill="1" applyFont="1"/>
    <xf borderId="15" fillId="18" fontId="13" numFmtId="168" xfId="0" applyBorder="1" applyFont="1" applyNumberFormat="1"/>
    <xf borderId="14" fillId="18" fontId="13" numFmtId="165" xfId="0" applyBorder="1" applyFont="1" applyNumberFormat="1"/>
    <xf borderId="14" fillId="18" fontId="13" numFmtId="168" xfId="0" applyBorder="1" applyFont="1" applyNumberFormat="1"/>
    <xf borderId="14" fillId="19" fontId="1" numFmtId="0" xfId="0" applyBorder="1" applyFill="1" applyFont="1"/>
    <xf borderId="8" fillId="14" fontId="10" numFmtId="9" xfId="0" applyAlignment="1" applyBorder="1" applyFont="1" applyNumberFormat="1">
      <alignment readingOrder="0"/>
    </xf>
    <xf borderId="8" fillId="14" fontId="10" numFmtId="165" xfId="0" applyAlignment="1" applyBorder="1" applyFont="1" applyNumberFormat="1">
      <alignment readingOrder="0"/>
    </xf>
    <xf borderId="2" fillId="19" fontId="1" numFmtId="0" xfId="0" applyBorder="1" applyFont="1"/>
    <xf borderId="22" fillId="14" fontId="1" numFmtId="165" xfId="0" applyBorder="1" applyFont="1" applyNumberFormat="1"/>
    <xf borderId="2" fillId="19" fontId="1" numFmtId="168" xfId="0" applyBorder="1" applyFont="1" applyNumberFormat="1"/>
    <xf borderId="2" fillId="19" fontId="1" numFmtId="165" xfId="0" applyBorder="1" applyFont="1" applyNumberFormat="1"/>
    <xf borderId="14" fillId="20" fontId="1" numFmtId="0" xfId="0" applyBorder="1" applyFill="1" applyFont="1"/>
    <xf borderId="23" fillId="14" fontId="10" numFmtId="9" xfId="0" applyAlignment="1" applyBorder="1" applyFont="1" applyNumberFormat="1">
      <alignment readingOrder="0"/>
    </xf>
    <xf borderId="23" fillId="14" fontId="10" numFmtId="165" xfId="0" applyAlignment="1" applyBorder="1" applyFont="1" applyNumberFormat="1">
      <alignment readingOrder="0"/>
    </xf>
    <xf borderId="2" fillId="20" fontId="1" numFmtId="0" xfId="0" applyBorder="1" applyFont="1"/>
    <xf borderId="2" fillId="20" fontId="1" numFmtId="168" xfId="0" applyBorder="1" applyFont="1" applyNumberFormat="1"/>
    <xf borderId="2" fillId="20" fontId="1" numFmtId="165" xfId="0" applyBorder="1" applyFont="1" applyNumberFormat="1"/>
    <xf borderId="14" fillId="21" fontId="1" numFmtId="0" xfId="0" applyBorder="1" applyFill="1" applyFont="1"/>
    <xf borderId="19" fillId="14" fontId="10" numFmtId="165" xfId="0" applyAlignment="1" applyBorder="1" applyFont="1" applyNumberFormat="1">
      <alignment readingOrder="0"/>
    </xf>
    <xf borderId="2" fillId="21" fontId="1" numFmtId="0" xfId="0" applyBorder="1" applyFont="1"/>
    <xf borderId="24" fillId="14" fontId="1" numFmtId="165" xfId="0" applyBorder="1" applyFont="1" applyNumberFormat="1"/>
    <xf borderId="2" fillId="21" fontId="1" numFmtId="168" xfId="0" applyBorder="1" applyFont="1" applyNumberFormat="1"/>
    <xf borderId="2" fillId="21" fontId="1" numFmtId="165" xfId="0" applyBorder="1" applyFont="1" applyNumberFormat="1"/>
    <xf borderId="25" fillId="0" fontId="1" numFmtId="0" xfId="0" applyBorder="1" applyFont="1"/>
    <xf borderId="26" fillId="0" fontId="1" numFmtId="0" xfId="0" applyBorder="1" applyFont="1"/>
    <xf borderId="0" fillId="0" fontId="4" numFmtId="167" xfId="0" applyFont="1" applyNumberFormat="1"/>
    <xf borderId="2" fillId="18" fontId="15" numFmtId="0" xfId="0" applyAlignment="1" applyBorder="1" applyFont="1">
      <alignment readingOrder="0"/>
    </xf>
    <xf borderId="2" fillId="18" fontId="13" numFmtId="0" xfId="0" applyBorder="1" applyFont="1"/>
    <xf borderId="27" fillId="14" fontId="1" numFmtId="165" xfId="0" applyBorder="1" applyFont="1" applyNumberFormat="1"/>
    <xf borderId="2" fillId="18" fontId="13" numFmtId="9" xfId="0" applyBorder="1" applyFont="1" applyNumberFormat="1"/>
    <xf borderId="2" fillId="18" fontId="13" numFmtId="165" xfId="0" applyBorder="1" applyFont="1" applyNumberFormat="1"/>
    <xf borderId="19" fillId="14" fontId="1" numFmtId="165" xfId="0" applyBorder="1" applyFont="1" applyNumberFormat="1"/>
    <xf borderId="28" fillId="19" fontId="1" numFmtId="168" xfId="0" applyBorder="1" applyFont="1" applyNumberFormat="1"/>
    <xf borderId="17" fillId="19" fontId="1" numFmtId="165" xfId="0" applyBorder="1" applyFont="1" applyNumberFormat="1"/>
    <xf borderId="17" fillId="19" fontId="1" numFmtId="0" xfId="0" applyBorder="1" applyFont="1"/>
    <xf borderId="20" fillId="19" fontId="1" numFmtId="0" xfId="0" applyBorder="1" applyFont="1"/>
    <xf borderId="5" fillId="19" fontId="1" numFmtId="165" xfId="0" applyBorder="1" applyFont="1" applyNumberFormat="1"/>
    <xf borderId="20" fillId="19" fontId="1" numFmtId="10" xfId="0" applyBorder="1" applyFont="1" applyNumberFormat="1"/>
    <xf borderId="20" fillId="19" fontId="1" numFmtId="168" xfId="0" applyBorder="1" applyFont="1" applyNumberFormat="1"/>
    <xf borderId="20" fillId="19" fontId="1" numFmtId="167" xfId="0" applyBorder="1" applyFont="1" applyNumberFormat="1"/>
    <xf borderId="29" fillId="19" fontId="1" numFmtId="164" xfId="0" applyBorder="1" applyFont="1" applyNumberFormat="1"/>
    <xf borderId="17" fillId="13" fontId="13" numFmtId="0" xfId="0" applyBorder="1" applyFont="1"/>
    <xf borderId="18" fillId="13" fontId="13" numFmtId="9" xfId="0" applyBorder="1" applyFont="1" applyNumberFormat="1"/>
    <xf borderId="2" fillId="22" fontId="13" numFmtId="0" xfId="0" applyBorder="1" applyFill="1" applyFont="1"/>
    <xf borderId="2" fillId="22" fontId="13" numFmtId="165" xfId="0" applyBorder="1" applyFont="1" applyNumberFormat="1"/>
    <xf borderId="2" fillId="22" fontId="13" numFmtId="9" xfId="0" applyBorder="1" applyFont="1" applyNumberFormat="1"/>
    <xf borderId="30" fillId="14" fontId="10" numFmtId="165" xfId="0" applyAlignment="1" applyBorder="1" applyFont="1" applyNumberFormat="1">
      <alignment readingOrder="0"/>
    </xf>
    <xf borderId="31" fillId="0" fontId="1" numFmtId="0" xfId="0" applyBorder="1" applyFont="1"/>
    <xf borderId="20" fillId="16" fontId="1" numFmtId="0" xfId="0" applyBorder="1" applyFont="1"/>
    <xf borderId="20" fillId="16" fontId="1" numFmtId="167" xfId="0" applyBorder="1" applyFont="1" applyNumberFormat="1"/>
    <xf borderId="29" fillId="16" fontId="1" numFmtId="164" xfId="0" applyBorder="1" applyFont="1" applyNumberFormat="1"/>
    <xf borderId="0" fillId="0" fontId="27" numFmtId="0" xfId="0" applyAlignment="1" applyFont="1">
      <alignment horizontal="left" shrinkToFit="0" vertical="top" wrapText="1"/>
    </xf>
    <xf borderId="26" fillId="0" fontId="1" numFmtId="164" xfId="0" applyBorder="1" applyFont="1" applyNumberFormat="1"/>
    <xf borderId="2" fillId="17" fontId="13" numFmtId="9" xfId="0" applyBorder="1" applyFont="1" applyNumberFormat="1"/>
    <xf borderId="2" fillId="17" fontId="13" numFmtId="10" xfId="0" applyBorder="1" applyFont="1" applyNumberFormat="1"/>
    <xf borderId="2" fillId="17" fontId="13" numFmtId="167" xfId="0" applyBorder="1" applyFont="1" applyNumberFormat="1"/>
    <xf borderId="2" fillId="17" fontId="13" numFmtId="164" xfId="0" applyBorder="1" applyFont="1" applyNumberFormat="1"/>
    <xf borderId="22" fillId="14" fontId="10" numFmtId="165" xfId="0" applyAlignment="1" applyBorder="1" applyFont="1" applyNumberFormat="1">
      <alignment readingOrder="0"/>
    </xf>
    <xf borderId="19" fillId="14" fontId="10" numFmtId="9" xfId="0" applyAlignment="1" applyBorder="1" applyFont="1" applyNumberFormat="1">
      <alignment readingOrder="0"/>
    </xf>
    <xf borderId="19" fillId="14" fontId="1" numFmtId="165" xfId="0" applyAlignment="1" applyBorder="1" applyFont="1" applyNumberFormat="1">
      <alignment readingOrder="0"/>
    </xf>
    <xf borderId="32" fillId="15" fontId="1" numFmtId="0" xfId="0" applyAlignment="1" applyBorder="1" applyFont="1">
      <alignment horizontal="left"/>
    </xf>
    <xf borderId="33" fillId="0" fontId="28" numFmtId="0" xfId="0" applyBorder="1" applyFont="1"/>
    <xf borderId="14" fillId="5" fontId="1" numFmtId="0" xfId="0" applyBorder="1" applyFont="1"/>
    <xf borderId="15" fillId="5" fontId="1" numFmtId="10" xfId="0" applyBorder="1" applyFont="1" applyNumberFormat="1"/>
    <xf borderId="8" fillId="14" fontId="25" numFmtId="165" xfId="0" applyAlignment="1" applyBorder="1" applyFont="1" applyNumberFormat="1">
      <alignment readingOrder="0"/>
    </xf>
    <xf borderId="2" fillId="5" fontId="1" numFmtId="9" xfId="0" applyBorder="1" applyFont="1" applyNumberFormat="1"/>
    <xf borderId="2" fillId="5" fontId="1" numFmtId="165" xfId="0" applyBorder="1" applyFont="1" applyNumberFormat="1"/>
    <xf borderId="14" fillId="16" fontId="1" numFmtId="0" xfId="0" applyBorder="1" applyFont="1"/>
    <xf borderId="15" fillId="16" fontId="1" numFmtId="10" xfId="0" applyBorder="1" applyFont="1" applyNumberFormat="1"/>
    <xf borderId="34" fillId="14" fontId="25" numFmtId="165" xfId="0" applyAlignment="1" applyBorder="1" applyFont="1" applyNumberFormat="1">
      <alignment readingOrder="0"/>
    </xf>
    <xf borderId="2" fillId="16" fontId="1" numFmtId="9" xfId="0" applyBorder="1" applyFont="1" applyNumberFormat="1"/>
    <xf borderId="2" fillId="16" fontId="1" numFmtId="165" xfId="0" applyBorder="1" applyFont="1" applyNumberFormat="1"/>
    <xf borderId="2" fillId="16" fontId="1" numFmtId="168" xfId="0" applyBorder="1" applyFont="1" applyNumberFormat="1"/>
    <xf borderId="18" fillId="5" fontId="1" numFmtId="10" xfId="0" applyBorder="1" applyFont="1" applyNumberFormat="1"/>
    <xf borderId="2" fillId="5" fontId="1" numFmtId="168" xfId="0" applyBorder="1" applyFont="1" applyNumberFormat="1"/>
    <xf borderId="5" fillId="14" fontId="24" numFmtId="165" xfId="0" applyBorder="1" applyFont="1" applyNumberFormat="1"/>
    <xf borderId="20" fillId="5" fontId="1" numFmtId="167" xfId="0" applyBorder="1" applyFont="1" applyNumberFormat="1"/>
    <xf borderId="29" fillId="5" fontId="1" numFmtId="164" xfId="0" applyBorder="1" applyFont="1" applyNumberFormat="1"/>
    <xf borderId="0" fillId="0" fontId="29" numFmtId="0" xfId="0" applyAlignment="1" applyFont="1">
      <alignment readingOrder="0"/>
    </xf>
    <xf borderId="34" fillId="14" fontId="10" numFmtId="165" xfId="0" applyAlignment="1" applyBorder="1" applyFont="1" applyNumberFormat="1">
      <alignment readingOrder="0"/>
    </xf>
    <xf borderId="8" fillId="14" fontId="1" numFmtId="165" xfId="0" applyBorder="1" applyFont="1" applyNumberFormat="1"/>
    <xf borderId="35" fillId="14" fontId="1" numFmtId="165" xfId="0" applyBorder="1" applyFont="1" applyNumberFormat="1"/>
    <xf borderId="36" fillId="17" fontId="13" numFmtId="0" xfId="0" applyBorder="1" applyFont="1"/>
    <xf borderId="37" fillId="17" fontId="13" numFmtId="9" xfId="0" applyBorder="1" applyFont="1" applyNumberFormat="1"/>
    <xf borderId="38" fillId="5" fontId="1" numFmtId="0" xfId="0" applyBorder="1" applyFont="1"/>
    <xf borderId="39" fillId="5" fontId="1" numFmtId="168" xfId="0" applyBorder="1" applyFont="1" applyNumberFormat="1"/>
    <xf borderId="40" fillId="14" fontId="25" numFmtId="165" xfId="0" applyAlignment="1" applyBorder="1" applyFont="1" applyNumberFormat="1">
      <alignment readingOrder="0"/>
    </xf>
    <xf borderId="2" fillId="5" fontId="1" numFmtId="166" xfId="0" applyBorder="1" applyFont="1" applyNumberFormat="1"/>
    <xf borderId="41" fillId="16" fontId="10" numFmtId="0" xfId="0" applyAlignment="1" applyBorder="1" applyFont="1">
      <alignment readingOrder="0"/>
    </xf>
    <xf borderId="42" fillId="16" fontId="1" numFmtId="168" xfId="0" applyBorder="1" applyFont="1" applyNumberFormat="1"/>
    <xf borderId="2" fillId="16" fontId="10" numFmtId="0" xfId="0" applyAlignment="1" applyBorder="1" applyFont="1">
      <alignment readingOrder="0"/>
    </xf>
    <xf borderId="43" fillId="14" fontId="25" numFmtId="165" xfId="0" applyAlignment="1" applyBorder="1" applyFont="1" applyNumberFormat="1">
      <alignment readingOrder="0"/>
    </xf>
    <xf borderId="2" fillId="16" fontId="10" numFmtId="9" xfId="0" applyAlignment="1" applyBorder="1" applyFont="1" applyNumberFormat="1">
      <alignment readingOrder="0"/>
    </xf>
    <xf borderId="2" fillId="16" fontId="10" numFmtId="168" xfId="0" applyAlignment="1" applyBorder="1" applyFont="1" applyNumberFormat="1">
      <alignment readingOrder="0"/>
    </xf>
    <xf borderId="2" fillId="16" fontId="10" numFmtId="166" xfId="0" applyAlignment="1" applyBorder="1" applyFont="1" applyNumberFormat="1">
      <alignment readingOrder="0"/>
    </xf>
    <xf borderId="44" fillId="5" fontId="1" numFmtId="0" xfId="0" applyBorder="1" applyFont="1"/>
    <xf borderId="38" fillId="5" fontId="1" numFmtId="9" xfId="0" applyBorder="1" applyFont="1" applyNumberFormat="1"/>
    <xf borderId="38" fillId="5" fontId="1" numFmtId="168" xfId="0" applyBorder="1" applyFont="1" applyNumberFormat="1"/>
    <xf borderId="38" fillId="5" fontId="1" numFmtId="166" xfId="0" applyBorder="1" applyFont="1" applyNumberFormat="1"/>
    <xf borderId="41" fillId="16" fontId="1" numFmtId="0" xfId="0" applyBorder="1" applyFont="1"/>
    <xf borderId="45" fillId="16" fontId="1" numFmtId="0" xfId="0" applyBorder="1" applyFont="1"/>
    <xf borderId="46" fillId="16" fontId="1" numFmtId="168" xfId="0" applyBorder="1" applyFont="1" applyNumberFormat="1"/>
    <xf borderId="3" fillId="0" fontId="30" numFmtId="0" xfId="0" applyBorder="1" applyFont="1"/>
    <xf borderId="47" fillId="0" fontId="30" numFmtId="0" xfId="0" applyBorder="1" applyFont="1"/>
    <xf borderId="4" fillId="0" fontId="30" numFmtId="0" xfId="0" applyBorder="1" applyFont="1"/>
    <xf borderId="0" fillId="0" fontId="30" numFmtId="0" xfId="0" applyFont="1"/>
    <xf borderId="0" fillId="0" fontId="31" numFmtId="10" xfId="0" applyFont="1" applyNumberFormat="1"/>
    <xf borderId="0" fillId="0" fontId="32" numFmtId="0" xfId="0" applyAlignment="1" applyFont="1">
      <alignment readingOrder="0"/>
    </xf>
    <xf borderId="2" fillId="23" fontId="1" numFmtId="0" xfId="0" applyBorder="1" applyFill="1" applyFont="1"/>
    <xf borderId="2" fillId="23" fontId="1" numFmtId="9" xfId="0" applyBorder="1" applyFont="1" applyNumberFormat="1"/>
    <xf borderId="2" fillId="13" fontId="13" numFmtId="9" xfId="0" applyBorder="1" applyFont="1" applyNumberFormat="1"/>
    <xf borderId="0" fillId="0" fontId="33" numFmtId="0" xfId="0" applyAlignment="1" applyFont="1">
      <alignment readingOrder="0"/>
    </xf>
    <xf borderId="0" fillId="0" fontId="10" numFmtId="10" xfId="0" applyAlignment="1" applyFont="1" applyNumberFormat="1">
      <alignment readingOrder="0"/>
    </xf>
    <xf borderId="0" fillId="0" fontId="34" numFmtId="0" xfId="0" applyAlignment="1" applyFont="1">
      <alignment shrinkToFit="0" wrapText="1"/>
    </xf>
    <xf borderId="2" fillId="24" fontId="15" numFmtId="0" xfId="0" applyAlignment="1" applyBorder="1" applyFill="1" applyFont="1">
      <alignment readingOrder="0"/>
    </xf>
    <xf borderId="2" fillId="18" fontId="13" numFmtId="168" xfId="0" applyBorder="1" applyFont="1" applyNumberFormat="1"/>
    <xf borderId="2" fillId="13" fontId="13" numFmtId="168" xfId="0" applyBorder="1" applyFont="1" applyNumberFormat="1"/>
    <xf borderId="2" fillId="24" fontId="13" numFmtId="0" xfId="0" applyBorder="1" applyFont="1"/>
    <xf borderId="2" fillId="24" fontId="13" numFmtId="9" xfId="0" applyBorder="1" applyFont="1" applyNumberFormat="1"/>
    <xf borderId="2" fillId="5" fontId="10" numFmtId="0" xfId="0" applyAlignment="1" applyBorder="1" applyFont="1">
      <alignment readingOrder="0"/>
    </xf>
    <xf borderId="2" fillId="5" fontId="10" numFmtId="9" xfId="0" applyAlignment="1" applyBorder="1" applyFont="1" applyNumberFormat="1">
      <alignment readingOrder="0"/>
    </xf>
    <xf borderId="2" fillId="10" fontId="10" numFmtId="0" xfId="0" applyAlignment="1" applyBorder="1" applyFont="1">
      <alignment readingOrder="0"/>
    </xf>
    <xf borderId="2" fillId="10" fontId="10" numFmtId="9" xfId="0" applyAlignment="1" applyBorder="1" applyFont="1" applyNumberFormat="1">
      <alignment readingOrder="0"/>
    </xf>
    <xf borderId="2" fillId="6" fontId="1" numFmtId="9" xfId="0" applyBorder="1" applyFont="1" applyNumberFormat="1"/>
    <xf borderId="2" fillId="11" fontId="1" numFmtId="9" xfId="0" applyBorder="1" applyFont="1" applyNumberFormat="1"/>
    <xf borderId="2" fillId="5" fontId="10" numFmtId="168" xfId="0" applyAlignment="1" applyBorder="1" applyFont="1" applyNumberFormat="1">
      <alignment readingOrder="0"/>
    </xf>
    <xf borderId="0" fillId="0" fontId="5" numFmtId="168" xfId="0" applyFont="1" applyNumberFormat="1"/>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504825</xdr:colOff>
      <xdr:row>5</xdr:row>
      <xdr:rowOff>57150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lobal.morningstar.com/es/inversiones/fondos/0P00000RQE/cotizacion" TargetMode="External"/><Relationship Id="rId22" Type="http://schemas.openxmlformats.org/officeDocument/2006/relationships/hyperlink" Target="https://global.morningstar.com/es/inversiones/fondos/F00000Z3ZZ/cotizacion" TargetMode="External"/><Relationship Id="rId21" Type="http://schemas.openxmlformats.org/officeDocument/2006/relationships/hyperlink" Target="https://global.morningstar.com/es/inversiones/fondos/0P0000WDE7/cotizacion" TargetMode="External"/><Relationship Id="rId24" Type="http://schemas.openxmlformats.org/officeDocument/2006/relationships/hyperlink" Target="https://global.morningstar.com/es/inversiones/fondos/0P0001IU23/cotizacion" TargetMode="External"/><Relationship Id="rId23" Type="http://schemas.openxmlformats.org/officeDocument/2006/relationships/hyperlink" Target="https://global.morningstar.com/es/inversiones/fondos/0P0001LJIW/cotizacion" TargetMode="External"/><Relationship Id="rId1" Type="http://schemas.openxmlformats.org/officeDocument/2006/relationships/hyperlink" Target="https://global.morningstar.com/es/inversiones/fondos/F0GBR04UOL/cotizacion" TargetMode="External"/><Relationship Id="rId2" Type="http://schemas.openxmlformats.org/officeDocument/2006/relationships/hyperlink" Target="https://global.morningstar.com/es/inversiones/fondos/F00001019G/cotizacion" TargetMode="External"/><Relationship Id="rId3" Type="http://schemas.openxmlformats.org/officeDocument/2006/relationships/hyperlink" Target="https://global.morningstar.com/es/inversiones/fondos/0P00000RQ8/cotizacion" TargetMode="External"/><Relationship Id="rId4" Type="http://schemas.openxmlformats.org/officeDocument/2006/relationships/hyperlink" Target="https://global.morningstar.com/es/inversiones/fondos/F00000ZZMQ/cotizacion" TargetMode="External"/><Relationship Id="rId9" Type="http://schemas.openxmlformats.org/officeDocument/2006/relationships/hyperlink" Target="https://global.morningstar.com/es/inversiones/fondos/0P00012I6A/cotizacion" TargetMode="External"/><Relationship Id="rId26" Type="http://schemas.openxmlformats.org/officeDocument/2006/relationships/drawing" Target="../drawings/drawing2.xml"/><Relationship Id="rId25" Type="http://schemas.openxmlformats.org/officeDocument/2006/relationships/hyperlink" Target="https://global.morningstar.com/es/inversiones/fondos/0P00017VAU/cotizacion" TargetMode="External"/><Relationship Id="rId5" Type="http://schemas.openxmlformats.org/officeDocument/2006/relationships/hyperlink" Target="https://global.morningstar.com/es/inversiones/fondos/0P00001QSE/cotizacion" TargetMode="External"/><Relationship Id="rId6" Type="http://schemas.openxmlformats.org/officeDocument/2006/relationships/hyperlink" Target="https://global.morningstar.com/es/inversiones/fondos/0P0001CLDI/cotizacion" TargetMode="External"/><Relationship Id="rId7" Type="http://schemas.openxmlformats.org/officeDocument/2006/relationships/hyperlink" Target="https://global.morningstar.com/es/inversiones/fondos/0P00012I6P/cotizacion" TargetMode="External"/><Relationship Id="rId8" Type="http://schemas.openxmlformats.org/officeDocument/2006/relationships/hyperlink" Target="https://global.morningstar.com/es/inversiones/fondos/0P0001AINL/cotizacion" TargetMode="External"/><Relationship Id="rId11" Type="http://schemas.openxmlformats.org/officeDocument/2006/relationships/hyperlink" Target="https://global.morningstar.com/es/inversiones/fondos/0P00012I66/cotizacion" TargetMode="External"/><Relationship Id="rId10" Type="http://schemas.openxmlformats.org/officeDocument/2006/relationships/hyperlink" Target="https://global.morningstar.com/es/inversiones/fondos/0P0001XF3Z/cotizacion" TargetMode="External"/><Relationship Id="rId13" Type="http://schemas.openxmlformats.org/officeDocument/2006/relationships/hyperlink" Target="https://global.morningstar.com/es/inversiones/fondos/0P0001CLDK/cotizacion" TargetMode="External"/><Relationship Id="rId12" Type="http://schemas.openxmlformats.org/officeDocument/2006/relationships/hyperlink" Target="https://global.morningstar.com/es/inversiones/fondos/0P00000WLG/cotizacion" TargetMode="External"/><Relationship Id="rId15" Type="http://schemas.openxmlformats.org/officeDocument/2006/relationships/hyperlink" Target="https://global.morningstar.com/es/inversiones/fondos/F00000WQTY/cotizacion" TargetMode="External"/><Relationship Id="rId14" Type="http://schemas.openxmlformats.org/officeDocument/2006/relationships/hyperlink" Target="https://global.morningstar.com/es/inversiones/fondos/0P0001XF40/cotizacion" TargetMode="External"/><Relationship Id="rId17" Type="http://schemas.openxmlformats.org/officeDocument/2006/relationships/hyperlink" Target="https://global.morningstar.com/es/inversiones/fondos/0P00000W6H/cotizacion" TargetMode="External"/><Relationship Id="rId16" Type="http://schemas.openxmlformats.org/officeDocument/2006/relationships/hyperlink" Target="https://global.morningstar.com/es/inversiones/fondos/0P0000CV2T/cotizacion" TargetMode="External"/><Relationship Id="rId19" Type="http://schemas.openxmlformats.org/officeDocument/2006/relationships/hyperlink" Target="https://global.morningstar.com/es/inversiones/fondos/0P0000J59O/cotizacion" TargetMode="External"/><Relationship Id="rId18" Type="http://schemas.openxmlformats.org/officeDocument/2006/relationships/hyperlink" Target="https://global.morningstar.com/es/inversiones/fondos/0P00012NJA/cotizacio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lobal.morningstar.com/es/inversiones/etfs/0P0000IUUD/cotizacion" TargetMode="External"/><Relationship Id="rId20" Type="http://schemas.openxmlformats.org/officeDocument/2006/relationships/hyperlink" Target="https://global.morningstar.com/es/inversiones/etfs/0P0001SEDT/cotizacion" TargetMode="External"/><Relationship Id="rId42" Type="http://schemas.openxmlformats.org/officeDocument/2006/relationships/hyperlink" Target="https://global.morningstar.com/es/inversiones/etfs/0P00019OGB/cotizacion" TargetMode="External"/><Relationship Id="rId41" Type="http://schemas.openxmlformats.org/officeDocument/2006/relationships/hyperlink" Target="https://global.morningstar.com/es/inversiones/etfs/0P0001CA8X/cotizacion" TargetMode="External"/><Relationship Id="rId22" Type="http://schemas.openxmlformats.org/officeDocument/2006/relationships/hyperlink" Target="https://global.morningstar.com/es/inversiones/etfs/0P00018H8S/cotizacion" TargetMode="External"/><Relationship Id="rId44" Type="http://schemas.openxmlformats.org/officeDocument/2006/relationships/drawing" Target="../drawings/drawing3.xml"/><Relationship Id="rId21" Type="http://schemas.openxmlformats.org/officeDocument/2006/relationships/hyperlink" Target="https://global.morningstar.com/es/inversiones/etfs/0P0001CA8R/cotizacion" TargetMode="External"/><Relationship Id="rId43" Type="http://schemas.openxmlformats.org/officeDocument/2006/relationships/hyperlink" Target="https://global.morningstar.com/es/inversiones/etfs/0P0001MY6G/cotizacion" TargetMode="External"/><Relationship Id="rId24" Type="http://schemas.openxmlformats.org/officeDocument/2006/relationships/hyperlink" Target="https://global.morningstar.com/es/inversiones/etfs/0P0000MLJ0/cotizacion" TargetMode="External"/><Relationship Id="rId23" Type="http://schemas.openxmlformats.org/officeDocument/2006/relationships/hyperlink" Target="https://global.morningstar.com/es/inversiones/etfs/0P0000M68P/cotizacion" TargetMode="External"/><Relationship Id="rId1" Type="http://schemas.openxmlformats.org/officeDocument/2006/relationships/hyperlink" Target="https://global.morningstar.com/es/inversiones/etfs/0P0001J2VU/cotizacion" TargetMode="External"/><Relationship Id="rId2" Type="http://schemas.openxmlformats.org/officeDocument/2006/relationships/hyperlink" Target="https://global.morningstar.com/es/inversiones/etfs/0P0000MEHR/cotizacion" TargetMode="External"/><Relationship Id="rId3" Type="http://schemas.openxmlformats.org/officeDocument/2006/relationships/hyperlink" Target="https://global.morningstar.com/es/inversiones/etfs/0P0001IHVM/cotizacion" TargetMode="External"/><Relationship Id="rId4" Type="http://schemas.openxmlformats.org/officeDocument/2006/relationships/hyperlink" Target="https://global.morningstar.com/es/inversiones/etfs/0P00014DUA/cotizacion" TargetMode="External"/><Relationship Id="rId9" Type="http://schemas.openxmlformats.org/officeDocument/2006/relationships/hyperlink" Target="https://global.morningstar.com/es/inversiones/etfs/0P0000TLCB/cotizacion" TargetMode="External"/><Relationship Id="rId26" Type="http://schemas.openxmlformats.org/officeDocument/2006/relationships/hyperlink" Target="https://global.morningstar.com/es/inversiones/etfs/0P0001CA8N/cotizacion" TargetMode="External"/><Relationship Id="rId25" Type="http://schemas.openxmlformats.org/officeDocument/2006/relationships/hyperlink" Target="https://global.morningstar.com/es/inversiones/etfs/0P0001CA8P/cotizacion" TargetMode="External"/><Relationship Id="rId28" Type="http://schemas.openxmlformats.org/officeDocument/2006/relationships/hyperlink" Target="https://global.morningstar.com/es/inversiones/etfs/0P0001M1QW/cotizacion" TargetMode="External"/><Relationship Id="rId27" Type="http://schemas.openxmlformats.org/officeDocument/2006/relationships/hyperlink" Target="https://global.morningstar.com/es/inversiones/etfs/0P0001R5MB/cotizacion" TargetMode="External"/><Relationship Id="rId5" Type="http://schemas.openxmlformats.org/officeDocument/2006/relationships/hyperlink" Target="https://global.morningstar.com/es/inversiones/etfs/0P00013P1I/cotizacion" TargetMode="External"/><Relationship Id="rId6" Type="http://schemas.openxmlformats.org/officeDocument/2006/relationships/hyperlink" Target="https://global.morningstar.com/es/inversiones/etfs/0P00011HK4/cotizacion" TargetMode="External"/><Relationship Id="rId29" Type="http://schemas.openxmlformats.org/officeDocument/2006/relationships/hyperlink" Target="https://global.morningstar.com/es/inversiones/etfs/0P0001MN66/cotizacion" TargetMode="External"/><Relationship Id="rId7" Type="http://schemas.openxmlformats.org/officeDocument/2006/relationships/hyperlink" Target="https://global.morningstar.com/es/inversiones/etfs/0P0000LZYG/cotizacion" TargetMode="External"/><Relationship Id="rId8" Type="http://schemas.openxmlformats.org/officeDocument/2006/relationships/hyperlink" Target="https://global.morningstar.com/es/inversiones/etfs/0P0001GZYD/cotizacion" TargetMode="External"/><Relationship Id="rId31" Type="http://schemas.openxmlformats.org/officeDocument/2006/relationships/hyperlink" Target="https://global.morningstar.com/es/inversiones/etfs/0P0000NCJF/cotizacion" TargetMode="External"/><Relationship Id="rId30" Type="http://schemas.openxmlformats.org/officeDocument/2006/relationships/hyperlink" Target="https://global.morningstar.com/es/inversiones/etfs/0P0001FVKL/cotizacion" TargetMode="External"/><Relationship Id="rId11" Type="http://schemas.openxmlformats.org/officeDocument/2006/relationships/hyperlink" Target="https://global.morningstar.com/es/inversiones/etfs/0P00017UIW/cotizacion" TargetMode="External"/><Relationship Id="rId33" Type="http://schemas.openxmlformats.org/officeDocument/2006/relationships/hyperlink" Target="https://global.morningstar.com/es/inversiones/etfs/0P0001A3U1/cotizacion" TargetMode="External"/><Relationship Id="rId10" Type="http://schemas.openxmlformats.org/officeDocument/2006/relationships/hyperlink" Target="https://global.morningstar.com/es/inversiones/etfs/0P0001TF1N/cotizacion" TargetMode="External"/><Relationship Id="rId32" Type="http://schemas.openxmlformats.org/officeDocument/2006/relationships/hyperlink" Target="https://global.morningstar.com/es/inversiones/etfs/0P0001KOWF/cotizacion" TargetMode="External"/><Relationship Id="rId13" Type="http://schemas.openxmlformats.org/officeDocument/2006/relationships/hyperlink" Target="https://global.morningstar.com/es/inversiones/etfs/0P0000Q1W2/cotizacion" TargetMode="External"/><Relationship Id="rId35" Type="http://schemas.openxmlformats.org/officeDocument/2006/relationships/hyperlink" Target="https://global.morningstar.com/es/inversiones/etfs/0P0001CCAF/cotizacion" TargetMode="External"/><Relationship Id="rId12" Type="http://schemas.openxmlformats.org/officeDocument/2006/relationships/hyperlink" Target="https://global.morningstar.com/es/inversiones/etfs/0P00017OIZ/cotizacion" TargetMode="External"/><Relationship Id="rId34" Type="http://schemas.openxmlformats.org/officeDocument/2006/relationships/hyperlink" Target="https://global.morningstar.com/es/inversiones/etfs/0P00015X1G/cotizacion" TargetMode="External"/><Relationship Id="rId15" Type="http://schemas.openxmlformats.org/officeDocument/2006/relationships/hyperlink" Target="https://global.morningstar.com/es/inversiones/etfs/0P00017PP3/cotizacion" TargetMode="External"/><Relationship Id="rId37" Type="http://schemas.openxmlformats.org/officeDocument/2006/relationships/hyperlink" Target="https://global.morningstar.com/es/inversiones/etfs/0P0001M1QY/cotizacion" TargetMode="External"/><Relationship Id="rId14" Type="http://schemas.openxmlformats.org/officeDocument/2006/relationships/hyperlink" Target="https://global.morningstar.com/es/inversiones/etfs/0P00017PP9/cotizacion" TargetMode="External"/><Relationship Id="rId36" Type="http://schemas.openxmlformats.org/officeDocument/2006/relationships/hyperlink" Target="https://global.morningstar.com/es/inversiones/etfs/0P0001A072/cotizacion" TargetMode="External"/><Relationship Id="rId17" Type="http://schemas.openxmlformats.org/officeDocument/2006/relationships/hyperlink" Target="https://global.morningstar.com/es/inversiones/etfs/0P00017UIY/cotizacion" TargetMode="External"/><Relationship Id="rId39" Type="http://schemas.openxmlformats.org/officeDocument/2006/relationships/hyperlink" Target="https://global.morningstar.com/es/inversiones/etfs/0P0001HSBO/cotizacion" TargetMode="External"/><Relationship Id="rId16" Type="http://schemas.openxmlformats.org/officeDocument/2006/relationships/hyperlink" Target="https://global.morningstar.com/es/inversiones/etfs/0P000197PX/cotizacion" TargetMode="External"/><Relationship Id="rId38" Type="http://schemas.openxmlformats.org/officeDocument/2006/relationships/hyperlink" Target="https://global.morningstar.com/es/inversiones/etfs/0P0001MHHV/cotizacion" TargetMode="External"/><Relationship Id="rId19" Type="http://schemas.openxmlformats.org/officeDocument/2006/relationships/hyperlink" Target="https://global.morningstar.com/es/inversiones/etfs/0P0000IPRR/cotizacion" TargetMode="External"/><Relationship Id="rId18" Type="http://schemas.openxmlformats.org/officeDocument/2006/relationships/hyperlink" Target="https://global.morningstar.com/es/inversiones/etfs/0P0001PFNW/cotizac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103.13"/>
    <col customWidth="1" min="3" max="4" width="8.88"/>
    <col customWidth="1" min="5" max="5" width="18.88"/>
    <col customWidth="1" min="6" max="26" width="8.88"/>
  </cols>
  <sheetData>
    <row r="1" ht="14.25" customHeight="1">
      <c r="C1" s="1"/>
    </row>
    <row r="2" ht="14.25" customHeight="1">
      <c r="B2" s="2" t="s">
        <v>0</v>
      </c>
      <c r="C2" s="1"/>
    </row>
    <row r="3" ht="14.25" customHeight="1">
      <c r="C3" s="1"/>
    </row>
    <row r="4" ht="27.0" customHeight="1">
      <c r="B4" s="3" t="s">
        <v>1</v>
      </c>
      <c r="C4" s="1"/>
    </row>
    <row r="5" ht="14.25" customHeight="1">
      <c r="C5" s="1"/>
    </row>
    <row r="6" ht="24.0" customHeight="1">
      <c r="B6" s="4" t="s">
        <v>2</v>
      </c>
      <c r="C6" s="5" t="s">
        <v>3</v>
      </c>
    </row>
    <row r="7" ht="24.0" customHeight="1">
      <c r="A7" s="6"/>
      <c r="B7" s="7" t="str">
        <f>+B55</f>
        <v>1. ¿Cuándo necesitarás retirar el 50% o más de este dinero?</v>
      </c>
      <c r="C7" s="6"/>
      <c r="D7" s="6"/>
      <c r="E7" s="6"/>
      <c r="F7" s="6"/>
      <c r="G7" s="6"/>
      <c r="H7" s="6"/>
      <c r="I7" s="6"/>
      <c r="J7" s="6"/>
      <c r="K7" s="6"/>
      <c r="L7" s="6"/>
      <c r="M7" s="6"/>
      <c r="N7" s="6"/>
      <c r="O7" s="6"/>
      <c r="P7" s="6"/>
      <c r="Q7" s="6"/>
      <c r="R7" s="6"/>
      <c r="S7" s="6"/>
      <c r="T7" s="6"/>
      <c r="U7" s="6"/>
      <c r="V7" s="6"/>
      <c r="W7" s="6"/>
      <c r="X7" s="6"/>
      <c r="Y7" s="6"/>
      <c r="Z7" s="6"/>
    </row>
    <row r="8" ht="24.0" customHeight="1">
      <c r="A8" s="6"/>
      <c r="B8" s="8" t="s">
        <v>4</v>
      </c>
      <c r="C8" s="9">
        <f> VLOOKUP(B8,B56:C60,2,FALSE)</f>
        <v>40</v>
      </c>
      <c r="D8" s="6"/>
      <c r="E8" s="6"/>
      <c r="F8" s="6"/>
      <c r="G8" s="6"/>
      <c r="H8" s="6"/>
      <c r="I8" s="6"/>
      <c r="J8" s="6"/>
      <c r="K8" s="6"/>
      <c r="L8" s="6"/>
      <c r="M8" s="6"/>
      <c r="N8" s="6"/>
      <c r="O8" s="6"/>
      <c r="P8" s="6"/>
      <c r="Q8" s="6"/>
      <c r="R8" s="6"/>
      <c r="S8" s="6"/>
      <c r="T8" s="6"/>
      <c r="U8" s="6"/>
      <c r="V8" s="6"/>
      <c r="W8" s="6"/>
      <c r="X8" s="6"/>
      <c r="Y8" s="6"/>
      <c r="Z8" s="6"/>
    </row>
    <row r="9" ht="24.0" customHeight="1">
      <c r="A9" s="6"/>
      <c r="B9" s="10" t="str">
        <f>+B61</f>
        <v>2. Describe tu situación laboral/ingresos:</v>
      </c>
      <c r="C9" s="9"/>
      <c r="D9" s="6"/>
      <c r="E9" s="6"/>
      <c r="F9" s="6"/>
      <c r="G9" s="6"/>
      <c r="H9" s="6"/>
      <c r="I9" s="6"/>
      <c r="J9" s="6"/>
      <c r="K9" s="6"/>
      <c r="L9" s="6"/>
      <c r="M9" s="6"/>
      <c r="N9" s="6"/>
      <c r="O9" s="6"/>
      <c r="P9" s="6"/>
      <c r="Q9" s="6"/>
      <c r="R9" s="6"/>
      <c r="S9" s="6"/>
      <c r="T9" s="6"/>
      <c r="U9" s="6"/>
      <c r="V9" s="6"/>
      <c r="W9" s="6"/>
      <c r="X9" s="6"/>
      <c r="Y9" s="6"/>
      <c r="Z9" s="6"/>
    </row>
    <row r="10" ht="24.0" customHeight="1">
      <c r="A10" s="6"/>
      <c r="B10" s="11" t="s">
        <v>5</v>
      </c>
      <c r="C10" s="9">
        <f> VLOOKUP(B10,B62:C65,2,FALSE)</f>
        <v>12</v>
      </c>
      <c r="D10" s="6"/>
      <c r="E10" s="6"/>
      <c r="F10" s="6"/>
      <c r="G10" s="6"/>
      <c r="H10" s="6"/>
      <c r="I10" s="6"/>
      <c r="J10" s="6"/>
      <c r="K10" s="6"/>
      <c r="L10" s="6"/>
      <c r="M10" s="6"/>
      <c r="N10" s="6"/>
      <c r="O10" s="6"/>
      <c r="P10" s="6"/>
      <c r="Q10" s="6"/>
      <c r="R10" s="6"/>
      <c r="S10" s="6"/>
      <c r="T10" s="6"/>
      <c r="U10" s="6"/>
      <c r="V10" s="6"/>
      <c r="W10" s="6"/>
      <c r="X10" s="6"/>
      <c r="Y10" s="6"/>
      <c r="Z10" s="6"/>
    </row>
    <row r="11" ht="24.0" customHeight="1">
      <c r="A11" s="6"/>
      <c r="B11" s="7" t="str">
        <f>+B66</f>
        <v>3. Fuera de esta inversión, ¿cuántos meses de gastos tienes en liquidez?</v>
      </c>
      <c r="C11" s="9"/>
      <c r="D11" s="6"/>
      <c r="E11" s="6"/>
      <c r="F11" s="6"/>
      <c r="G11" s="6"/>
      <c r="H11" s="6"/>
      <c r="I11" s="6"/>
      <c r="J11" s="6"/>
      <c r="K11" s="6"/>
      <c r="L11" s="6"/>
      <c r="M11" s="6"/>
      <c r="N11" s="6"/>
      <c r="O11" s="6"/>
      <c r="P11" s="6"/>
      <c r="Q11" s="6"/>
      <c r="R11" s="6"/>
      <c r="S11" s="6"/>
      <c r="T11" s="6"/>
      <c r="U11" s="6"/>
      <c r="V11" s="6"/>
      <c r="W11" s="6"/>
      <c r="X11" s="6"/>
      <c r="Y11" s="6"/>
      <c r="Z11" s="6"/>
    </row>
    <row r="12" ht="24.0" customHeight="1">
      <c r="A12" s="6"/>
      <c r="B12" s="11" t="s">
        <v>6</v>
      </c>
      <c r="C12" s="9">
        <f> VLOOKUP(B12,B67:C70,2,FALSE)</f>
        <v>16</v>
      </c>
      <c r="D12" s="6"/>
      <c r="E12" s="6"/>
      <c r="F12" s="6"/>
      <c r="G12" s="6"/>
      <c r="H12" s="6"/>
      <c r="I12" s="6"/>
      <c r="J12" s="6"/>
      <c r="K12" s="6"/>
      <c r="L12" s="6"/>
      <c r="M12" s="6"/>
      <c r="N12" s="6"/>
      <c r="O12" s="6"/>
      <c r="P12" s="6"/>
      <c r="Q12" s="6"/>
      <c r="R12" s="6"/>
      <c r="S12" s="6"/>
      <c r="T12" s="6"/>
      <c r="U12" s="6"/>
      <c r="V12" s="6"/>
      <c r="W12" s="6"/>
      <c r="X12" s="6"/>
      <c r="Y12" s="6"/>
      <c r="Z12" s="6"/>
    </row>
    <row r="13" ht="24.0" customHeight="1">
      <c r="A13" s="6"/>
      <c r="B13" s="7" t="str">
        <f>+B71</f>
        <v>4. ¿Qué % de tu patrimonio líquido total representa esta inversión?</v>
      </c>
      <c r="C13" s="9"/>
      <c r="D13" s="6"/>
      <c r="E13" s="6"/>
      <c r="F13" s="6"/>
      <c r="G13" s="6"/>
      <c r="H13" s="6"/>
      <c r="I13" s="6"/>
      <c r="J13" s="6"/>
      <c r="K13" s="6"/>
      <c r="L13" s="6"/>
      <c r="M13" s="6"/>
      <c r="N13" s="6"/>
      <c r="O13" s="6"/>
      <c r="P13" s="6"/>
      <c r="Q13" s="6"/>
      <c r="R13" s="6"/>
      <c r="S13" s="6"/>
      <c r="T13" s="6"/>
      <c r="U13" s="6"/>
      <c r="V13" s="6"/>
      <c r="W13" s="6"/>
      <c r="X13" s="6"/>
      <c r="Y13" s="6"/>
      <c r="Z13" s="6"/>
    </row>
    <row r="14" ht="24.0" customHeight="1">
      <c r="A14" s="6"/>
      <c r="B14" s="11" t="s">
        <v>7</v>
      </c>
      <c r="C14" s="9">
        <f> VLOOKUP(B14,B72:C76,2,FALSE)</f>
        <v>20</v>
      </c>
      <c r="D14" s="6"/>
      <c r="E14" s="6"/>
      <c r="F14" s="6"/>
      <c r="G14" s="6"/>
      <c r="H14" s="6"/>
      <c r="I14" s="6"/>
      <c r="J14" s="6"/>
      <c r="K14" s="6"/>
      <c r="L14" s="6"/>
      <c r="M14" s="6"/>
      <c r="N14" s="6"/>
      <c r="O14" s="6"/>
      <c r="P14" s="6"/>
      <c r="Q14" s="6"/>
      <c r="R14" s="6"/>
      <c r="S14" s="6"/>
      <c r="T14" s="6"/>
      <c r="U14" s="6"/>
      <c r="V14" s="6"/>
      <c r="W14" s="6"/>
      <c r="X14" s="6"/>
      <c r="Y14" s="6"/>
      <c r="Z14" s="6"/>
    </row>
    <row r="15" ht="24.0" customHeight="1">
      <c r="A15" s="6"/>
      <c r="B15" s="7" t="str">
        <f>+B77</f>
        <v>5. ¿Tienes deudas significativas?</v>
      </c>
      <c r="C15" s="9"/>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11" t="s">
        <v>8</v>
      </c>
      <c r="C16" s="9">
        <f> VLOOKUP(B16,B78:C81,2,FALSE)</f>
        <v>12</v>
      </c>
      <c r="D16" s="6"/>
      <c r="E16" s="6"/>
      <c r="F16" s="6"/>
      <c r="G16" s="6"/>
      <c r="H16" s="6"/>
      <c r="I16" s="6"/>
      <c r="J16" s="6"/>
      <c r="K16" s="6"/>
      <c r="L16" s="6"/>
      <c r="M16" s="6"/>
      <c r="N16" s="6"/>
      <c r="O16" s="6"/>
      <c r="P16" s="6"/>
      <c r="Q16" s="6"/>
      <c r="R16" s="6"/>
      <c r="S16" s="6"/>
      <c r="T16" s="6"/>
      <c r="U16" s="6"/>
      <c r="V16" s="6"/>
      <c r="W16" s="6"/>
      <c r="X16" s="6"/>
      <c r="Y16" s="6"/>
      <c r="Z16" s="6"/>
    </row>
    <row r="17" ht="14.25" customHeight="1">
      <c r="B17" s="12" t="s">
        <v>9</v>
      </c>
    </row>
    <row r="18" ht="14.25" customHeight="1">
      <c r="B18" s="13" t="s">
        <v>10</v>
      </c>
      <c r="C18" s="14">
        <f>SUM(C8:C16)</f>
        <v>100</v>
      </c>
    </row>
    <row r="19" ht="24.0" customHeight="1">
      <c r="B19" s="7"/>
      <c r="C19" s="7"/>
    </row>
    <row r="20" ht="24.0" customHeight="1">
      <c r="A20" s="6"/>
      <c r="B20" s="10" t="s">
        <v>11</v>
      </c>
      <c r="C20" s="9"/>
      <c r="D20" s="6"/>
      <c r="E20" s="6"/>
      <c r="F20" s="6"/>
      <c r="G20" s="6"/>
      <c r="H20" s="6"/>
      <c r="I20" s="6"/>
      <c r="J20" s="6"/>
      <c r="K20" s="6"/>
      <c r="L20" s="6"/>
      <c r="M20" s="6"/>
      <c r="N20" s="6"/>
      <c r="O20" s="6"/>
      <c r="P20" s="6"/>
      <c r="Q20" s="6"/>
      <c r="R20" s="6"/>
      <c r="S20" s="6"/>
      <c r="T20" s="6"/>
      <c r="U20" s="6"/>
      <c r="V20" s="6"/>
      <c r="W20" s="6"/>
      <c r="X20" s="6"/>
      <c r="Y20" s="6"/>
      <c r="Z20" s="6"/>
    </row>
    <row r="21" ht="24.0" customHeight="1">
      <c r="A21" s="6"/>
      <c r="B21" s="7" t="str">
        <f>+B83</f>
        <v>6. ¿Has vivido una caída del mercado &gt;20% con dinero invertido?</v>
      </c>
      <c r="C21" s="9"/>
      <c r="D21" s="6"/>
      <c r="E21" s="6"/>
      <c r="F21" s="6"/>
      <c r="G21" s="6"/>
      <c r="H21" s="6"/>
      <c r="I21" s="6"/>
      <c r="J21" s="6"/>
      <c r="K21" s="6"/>
      <c r="L21" s="6"/>
      <c r="M21" s="6"/>
      <c r="N21" s="6"/>
      <c r="O21" s="6"/>
      <c r="P21" s="6"/>
      <c r="Q21" s="6"/>
      <c r="R21" s="6"/>
      <c r="S21" s="6"/>
      <c r="T21" s="6"/>
      <c r="U21" s="6"/>
      <c r="V21" s="6"/>
      <c r="W21" s="6"/>
      <c r="X21" s="6"/>
      <c r="Y21" s="6"/>
      <c r="Z21" s="6"/>
    </row>
    <row r="22" ht="24.0" customHeight="1">
      <c r="A22" s="6"/>
      <c r="B22" s="11" t="s">
        <v>12</v>
      </c>
      <c r="C22" s="9">
        <f> VLOOKUP(B22,B84:C88,2,FALSE)</f>
        <v>20</v>
      </c>
      <c r="D22" s="6"/>
      <c r="E22" s="6"/>
      <c r="F22" s="6"/>
      <c r="G22" s="6"/>
      <c r="H22" s="6"/>
      <c r="I22" s="6"/>
      <c r="J22" s="6"/>
      <c r="K22" s="6"/>
      <c r="L22" s="6"/>
      <c r="M22" s="6"/>
      <c r="N22" s="6"/>
      <c r="O22" s="6"/>
      <c r="P22" s="6"/>
      <c r="Q22" s="6"/>
      <c r="R22" s="6"/>
      <c r="S22" s="6"/>
      <c r="T22" s="6"/>
      <c r="U22" s="6"/>
      <c r="V22" s="6"/>
      <c r="W22" s="6"/>
      <c r="X22" s="6"/>
      <c r="Y22" s="6"/>
      <c r="Z22" s="6"/>
    </row>
    <row r="23" ht="24.0" customHeight="1">
      <c r="A23" s="6"/>
      <c r="B23" s="10" t="str">
        <f>+B89</f>
        <v>7. Tienes 100.000€ invertidos. En 6 meses, el mercado cae 40% y tu cartera vale 60.000€. ¿Qué haces?</v>
      </c>
      <c r="C23" s="9"/>
      <c r="D23" s="6"/>
      <c r="E23" s="6"/>
      <c r="F23" s="6"/>
      <c r="G23" s="6"/>
      <c r="H23" s="6"/>
      <c r="I23" s="6"/>
      <c r="J23" s="6"/>
      <c r="K23" s="6"/>
      <c r="L23" s="6"/>
      <c r="M23" s="6"/>
      <c r="N23" s="6"/>
      <c r="O23" s="6"/>
      <c r="P23" s="6"/>
      <c r="Q23" s="6"/>
      <c r="R23" s="6"/>
      <c r="S23" s="6"/>
      <c r="T23" s="6"/>
      <c r="U23" s="6"/>
      <c r="V23" s="6"/>
      <c r="W23" s="6"/>
      <c r="X23" s="6"/>
      <c r="Y23" s="6"/>
      <c r="Z23" s="6"/>
    </row>
    <row r="24" ht="24.0" customHeight="1">
      <c r="A24" s="6"/>
      <c r="B24" s="11" t="s">
        <v>13</v>
      </c>
      <c r="C24" s="9">
        <f> VLOOKUP(B24,B90:C94,2,FALSE)</f>
        <v>25</v>
      </c>
      <c r="D24" s="6"/>
      <c r="E24" s="6"/>
      <c r="F24" s="6"/>
      <c r="G24" s="6"/>
      <c r="H24" s="6"/>
      <c r="I24" s="6"/>
      <c r="J24" s="6"/>
      <c r="K24" s="6"/>
      <c r="L24" s="6"/>
      <c r="M24" s="6"/>
      <c r="N24" s="6"/>
      <c r="O24" s="6"/>
      <c r="P24" s="6"/>
      <c r="Q24" s="6"/>
      <c r="R24" s="6"/>
      <c r="S24" s="6"/>
      <c r="T24" s="6"/>
      <c r="U24" s="6"/>
      <c r="V24" s="6"/>
      <c r="W24" s="6"/>
      <c r="X24" s="6"/>
      <c r="Y24" s="6"/>
      <c r="Z24" s="6"/>
    </row>
    <row r="25" ht="24.0" customHeight="1">
      <c r="A25" s="6"/>
      <c r="B25" s="10" t="str">
        <f>+B95</f>
        <v>8. ¿Cada cuánto revisas el valor de tu cartera?</v>
      </c>
      <c r="C25" s="9"/>
      <c r="D25" s="6"/>
      <c r="E25" s="6"/>
      <c r="F25" s="6"/>
      <c r="G25" s="6"/>
      <c r="H25" s="6"/>
      <c r="I25" s="6"/>
      <c r="J25" s="6"/>
      <c r="K25" s="6"/>
      <c r="L25" s="6"/>
      <c r="M25" s="6"/>
      <c r="N25" s="6"/>
      <c r="O25" s="6"/>
      <c r="P25" s="6"/>
      <c r="Q25" s="6"/>
      <c r="R25" s="6"/>
      <c r="S25" s="6"/>
      <c r="T25" s="6"/>
      <c r="U25" s="6"/>
      <c r="V25" s="6"/>
      <c r="W25" s="6"/>
      <c r="X25" s="6"/>
      <c r="Y25" s="6"/>
      <c r="Z25" s="6"/>
    </row>
    <row r="26" ht="24.0" customHeight="1">
      <c r="A26" s="6"/>
      <c r="B26" s="11" t="s">
        <v>14</v>
      </c>
      <c r="C26" s="9">
        <f> VLOOKUP(B26,B96:C100,2,FALSE)</f>
        <v>12</v>
      </c>
      <c r="D26" s="6"/>
      <c r="E26" s="6"/>
      <c r="F26" s="6"/>
      <c r="G26" s="6"/>
      <c r="H26" s="6"/>
      <c r="I26" s="6"/>
      <c r="J26" s="6"/>
      <c r="K26" s="6"/>
      <c r="L26" s="6"/>
      <c r="M26" s="6"/>
      <c r="N26" s="6"/>
      <c r="O26" s="6"/>
      <c r="P26" s="6"/>
      <c r="Q26" s="6"/>
      <c r="R26" s="6"/>
      <c r="S26" s="6"/>
      <c r="T26" s="6"/>
      <c r="U26" s="6"/>
      <c r="V26" s="6"/>
      <c r="W26" s="6"/>
      <c r="X26" s="6"/>
      <c r="Y26" s="6"/>
      <c r="Z26" s="6"/>
    </row>
    <row r="27" ht="24.0" customHeight="1">
      <c r="A27" s="6"/>
      <c r="B27" s="10" t="str">
        <f>+B101</f>
        <v>9. Tu cartera lleva 2 años rindiendo -5% anual mientras el plazo fijo da +2%. ¿Cómo te sientes?</v>
      </c>
      <c r="C27" s="9"/>
      <c r="D27" s="6"/>
      <c r="E27" s="6"/>
      <c r="F27" s="6"/>
      <c r="G27" s="6"/>
      <c r="H27" s="6"/>
      <c r="I27" s="6"/>
      <c r="J27" s="6"/>
      <c r="K27" s="6"/>
      <c r="L27" s="6"/>
      <c r="M27" s="6"/>
      <c r="N27" s="6"/>
      <c r="O27" s="6"/>
      <c r="P27" s="6"/>
      <c r="Q27" s="6"/>
      <c r="R27" s="6"/>
      <c r="S27" s="6"/>
      <c r="T27" s="6"/>
      <c r="U27" s="6"/>
      <c r="V27" s="6"/>
      <c r="W27" s="6"/>
      <c r="X27" s="6"/>
      <c r="Y27" s="6"/>
      <c r="Z27" s="6"/>
    </row>
    <row r="28" ht="24.0" customHeight="1">
      <c r="A28" s="6"/>
      <c r="B28" s="11" t="s">
        <v>15</v>
      </c>
      <c r="C28" s="9">
        <f> VLOOKUP(B28,B102:C105,2,FALSE)</f>
        <v>18</v>
      </c>
      <c r="D28" s="6"/>
      <c r="E28" s="6"/>
      <c r="F28" s="6"/>
      <c r="G28" s="6"/>
      <c r="H28" s="6"/>
      <c r="I28" s="6"/>
      <c r="J28" s="6"/>
      <c r="K28" s="6"/>
      <c r="L28" s="6"/>
      <c r="M28" s="6"/>
      <c r="N28" s="6"/>
      <c r="O28" s="6"/>
      <c r="P28" s="6"/>
      <c r="Q28" s="6"/>
      <c r="R28" s="6"/>
      <c r="S28" s="6"/>
      <c r="T28" s="6"/>
      <c r="U28" s="6"/>
      <c r="V28" s="6"/>
      <c r="W28" s="6"/>
      <c r="X28" s="6"/>
      <c r="Y28" s="6"/>
      <c r="Z28" s="6"/>
    </row>
    <row r="29" ht="24.0" customHeight="1">
      <c r="A29" s="6"/>
      <c r="B29" s="10" t="str">
        <f>+B106</f>
        <v>10. ¿Qué priorizas en tu inversión?</v>
      </c>
      <c r="C29" s="9"/>
      <c r="D29" s="6"/>
      <c r="E29" s="6"/>
      <c r="F29" s="6"/>
      <c r="G29" s="6"/>
      <c r="H29" s="6"/>
      <c r="I29" s="6"/>
      <c r="J29" s="6"/>
      <c r="K29" s="6"/>
      <c r="L29" s="6"/>
      <c r="M29" s="6"/>
      <c r="N29" s="6"/>
      <c r="O29" s="6"/>
      <c r="P29" s="6"/>
      <c r="Q29" s="6"/>
      <c r="R29" s="6"/>
      <c r="S29" s="6"/>
      <c r="T29" s="6"/>
      <c r="U29" s="6"/>
      <c r="V29" s="6"/>
      <c r="W29" s="6"/>
      <c r="X29" s="6"/>
      <c r="Y29" s="6"/>
      <c r="Z29" s="6"/>
    </row>
    <row r="30" ht="24.0" customHeight="1">
      <c r="A30" s="6"/>
      <c r="B30" s="11" t="s">
        <v>16</v>
      </c>
      <c r="C30" s="9">
        <f> VLOOKUP(B30,B107:C110,2,FALSE)</f>
        <v>25</v>
      </c>
      <c r="D30" s="6"/>
      <c r="E30" s="6"/>
      <c r="F30" s="6"/>
      <c r="G30" s="6"/>
      <c r="H30" s="6"/>
      <c r="I30" s="6"/>
      <c r="J30" s="6"/>
      <c r="K30" s="6"/>
      <c r="L30" s="6"/>
      <c r="M30" s="6"/>
      <c r="N30" s="6"/>
      <c r="O30" s="6"/>
      <c r="P30" s="6"/>
      <c r="Q30" s="6"/>
      <c r="R30" s="6"/>
      <c r="S30" s="6"/>
      <c r="T30" s="6"/>
      <c r="U30" s="6"/>
      <c r="V30" s="6"/>
      <c r="W30" s="6"/>
      <c r="X30" s="6"/>
      <c r="Y30" s="6"/>
      <c r="Z30" s="6"/>
    </row>
    <row r="31" ht="24.0" customHeight="1">
      <c r="B31" s="12"/>
    </row>
    <row r="32" ht="14.25" customHeight="1">
      <c r="A32" s="10"/>
      <c r="B32" s="13" t="s">
        <v>17</v>
      </c>
      <c r="C32" s="15">
        <f>SUM(C22:C30)</f>
        <v>100</v>
      </c>
    </row>
    <row r="33" ht="14.25" customHeight="1">
      <c r="C33" s="1"/>
    </row>
    <row r="34" ht="14.25" customHeight="1">
      <c r="B34" s="16" t="s">
        <v>18</v>
      </c>
      <c r="C34" s="17">
        <f>+MIN(C18,C32)</f>
        <v>100</v>
      </c>
    </row>
    <row r="35" ht="14.25" customHeight="1">
      <c r="C35" s="1"/>
    </row>
    <row r="36" ht="14.25" customHeight="1">
      <c r="B36" s="18" t="str">
        <f>IF(C34&lt;=20, CONCATENATE(B41,CHAR(10),B42), IF(C34&lt;=40, CONCATENATE(B43,B44),IF(C34&lt;=60,CONCATENATE(B45,B46),IF(C34&lt;=80,CONCATENATE(B47,B48), IF(C34&gt;80,CONCATENATE(B49,B50), "Completa el formulario")))))</f>
        <v>Agresivo (81-100 puntos):Un inversor agresivo busca el máximo crecimiento del capital. Este inversor está dispuesto a tolerar fluctuaciones en los rendimientos que son similares a los observados en los mercados de renta variable, puede requerir un pequeño ingreso y está preparado para invertir por un periodo mínimo de diez años. Una meta de rendimiento adecuada para este perfil podría ser el IPC más un 5 a 6% durante diez años.
Objetivo de Rendimiento: 9-10</v>
      </c>
      <c r="C36" s="1"/>
    </row>
    <row r="37" ht="14.25" customHeight="1">
      <c r="C37" s="1"/>
    </row>
    <row r="38" ht="14.25" customHeight="1">
      <c r="C38" s="1"/>
    </row>
    <row r="39" ht="14.25" customHeight="1">
      <c r="C39" s="1"/>
    </row>
    <row r="40" ht="14.25" customHeight="1">
      <c r="B40" s="12" t="s">
        <v>19</v>
      </c>
      <c r="C40" s="1"/>
    </row>
    <row r="41" ht="14.25" customHeight="1">
      <c r="B41" s="19" t="s">
        <v>20</v>
      </c>
      <c r="C41" s="1"/>
    </row>
    <row r="42" ht="14.25" customHeight="1">
      <c r="B42" s="20" t="s">
        <v>21</v>
      </c>
      <c r="C42" s="1"/>
    </row>
    <row r="43" ht="14.25" customHeight="1">
      <c r="B43" s="19" t="s">
        <v>22</v>
      </c>
      <c r="C43" s="1"/>
    </row>
    <row r="44" ht="14.25" customHeight="1">
      <c r="B44" s="20" t="s">
        <v>23</v>
      </c>
      <c r="C44" s="1"/>
    </row>
    <row r="45" ht="14.25" customHeight="1">
      <c r="B45" s="19" t="s">
        <v>24</v>
      </c>
      <c r="C45" s="1"/>
    </row>
    <row r="46" ht="14.25" customHeight="1">
      <c r="B46" s="20" t="s">
        <v>25</v>
      </c>
      <c r="C46" s="1"/>
    </row>
    <row r="47" ht="14.25" customHeight="1">
      <c r="B47" s="19" t="s">
        <v>26</v>
      </c>
      <c r="C47" s="1"/>
    </row>
    <row r="48" ht="14.25" customHeight="1">
      <c r="B48" s="20" t="s">
        <v>27</v>
      </c>
      <c r="C48" s="1"/>
    </row>
    <row r="49" ht="14.25" customHeight="1">
      <c r="B49" s="19" t="s">
        <v>28</v>
      </c>
      <c r="C49" s="1"/>
    </row>
    <row r="50" ht="14.25" customHeight="1">
      <c r="B50" s="20" t="s">
        <v>29</v>
      </c>
      <c r="C50" s="1"/>
    </row>
    <row r="51" ht="14.25" customHeight="1">
      <c r="C51" s="1"/>
    </row>
    <row r="52" ht="14.25" customHeight="1">
      <c r="C52" s="1"/>
    </row>
    <row r="53" ht="14.25" customHeight="1">
      <c r="C53" s="1"/>
    </row>
    <row r="54" ht="14.25" customHeight="1">
      <c r="B54" s="12" t="s">
        <v>2</v>
      </c>
      <c r="C54" s="1"/>
    </row>
    <row r="55" ht="14.25" customHeight="1">
      <c r="B55" s="6" t="s">
        <v>30</v>
      </c>
      <c r="C55" s="1"/>
    </row>
    <row r="56" ht="14.25" customHeight="1">
      <c r="B56" s="12" t="s">
        <v>31</v>
      </c>
      <c r="C56" s="21">
        <v>0.0</v>
      </c>
    </row>
    <row r="57" ht="14.25" customHeight="1">
      <c r="B57" s="12" t="s">
        <v>32</v>
      </c>
      <c r="C57" s="21">
        <v>8.0</v>
      </c>
    </row>
    <row r="58" ht="14.25" customHeight="1">
      <c r="B58" s="12" t="s">
        <v>33</v>
      </c>
      <c r="C58" s="21">
        <v>20.0</v>
      </c>
    </row>
    <row r="59" ht="14.25" customHeight="1">
      <c r="B59" s="12" t="s">
        <v>34</v>
      </c>
      <c r="C59" s="21">
        <v>30.0</v>
      </c>
    </row>
    <row r="60" ht="14.25" customHeight="1">
      <c r="B60" s="12" t="s">
        <v>4</v>
      </c>
      <c r="C60" s="21">
        <v>40.0</v>
      </c>
    </row>
    <row r="61" ht="14.25" customHeight="1">
      <c r="B61" s="12" t="s">
        <v>35</v>
      </c>
      <c r="C61" s="21"/>
    </row>
    <row r="62" ht="14.25" customHeight="1">
      <c r="B62" s="12" t="s">
        <v>36</v>
      </c>
      <c r="C62" s="21">
        <v>0.0</v>
      </c>
    </row>
    <row r="63" ht="14.25" customHeight="1">
      <c r="B63" s="12" t="s">
        <v>37</v>
      </c>
      <c r="C63" s="21">
        <v>3.0</v>
      </c>
    </row>
    <row r="64" ht="14.25" customHeight="1">
      <c r="B64" s="12" t="s">
        <v>38</v>
      </c>
      <c r="C64" s="21">
        <v>7.0</v>
      </c>
    </row>
    <row r="65" ht="14.25" customHeight="1">
      <c r="B65" s="12" t="s">
        <v>5</v>
      </c>
      <c r="C65" s="21">
        <v>12.0</v>
      </c>
    </row>
    <row r="66" ht="14.25" customHeight="1">
      <c r="B66" s="12" t="s">
        <v>39</v>
      </c>
      <c r="C66" s="21"/>
    </row>
    <row r="67" ht="14.25" customHeight="1">
      <c r="B67" s="12" t="s">
        <v>40</v>
      </c>
      <c r="C67" s="21">
        <v>0.0</v>
      </c>
    </row>
    <row r="68" ht="14.25" customHeight="1">
      <c r="B68" s="12" t="s">
        <v>41</v>
      </c>
      <c r="C68" s="21">
        <v>6.0</v>
      </c>
    </row>
    <row r="69" ht="14.25" customHeight="1">
      <c r="B69" s="12" t="s">
        <v>42</v>
      </c>
      <c r="C69" s="21">
        <v>11.0</v>
      </c>
    </row>
    <row r="70" ht="14.25" customHeight="1">
      <c r="B70" s="12" t="s">
        <v>6</v>
      </c>
      <c r="C70" s="21">
        <v>16.0</v>
      </c>
    </row>
    <row r="71" ht="14.25" customHeight="1">
      <c r="B71" s="12" t="s">
        <v>43</v>
      </c>
      <c r="C71" s="21"/>
    </row>
    <row r="72" ht="14.25" customHeight="1">
      <c r="B72" s="12" t="s">
        <v>44</v>
      </c>
      <c r="C72" s="21">
        <v>0.0</v>
      </c>
    </row>
    <row r="73" ht="14.25" customHeight="1">
      <c r="B73" s="12" t="s">
        <v>45</v>
      </c>
      <c r="C73" s="21">
        <v>4.0</v>
      </c>
    </row>
    <row r="74" ht="14.25" customHeight="1">
      <c r="B74" s="12" t="s">
        <v>46</v>
      </c>
      <c r="C74" s="21">
        <v>9.0</v>
      </c>
    </row>
    <row r="75" ht="14.25" customHeight="1">
      <c r="B75" s="12" t="s">
        <v>47</v>
      </c>
      <c r="C75" s="21">
        <v>14.0</v>
      </c>
    </row>
    <row r="76" ht="14.25" customHeight="1">
      <c r="B76" s="12" t="s">
        <v>7</v>
      </c>
      <c r="C76" s="21">
        <v>20.0</v>
      </c>
    </row>
    <row r="77" ht="14.25" customHeight="1">
      <c r="B77" s="12" t="s">
        <v>48</v>
      </c>
      <c r="C77" s="21"/>
    </row>
    <row r="78" ht="14.25" customHeight="1">
      <c r="B78" s="12" t="s">
        <v>49</v>
      </c>
      <c r="C78" s="21">
        <v>0.0</v>
      </c>
    </row>
    <row r="79" ht="14.25" customHeight="1">
      <c r="B79" s="12" t="s">
        <v>50</v>
      </c>
      <c r="C79" s="21">
        <v>4.0</v>
      </c>
    </row>
    <row r="80" ht="14.25" customHeight="1">
      <c r="B80" s="12" t="s">
        <v>9</v>
      </c>
      <c r="C80" s="21">
        <v>8.0</v>
      </c>
    </row>
    <row r="81" ht="14.25" customHeight="1">
      <c r="B81" s="12" t="s">
        <v>8</v>
      </c>
      <c r="C81" s="21">
        <v>12.0</v>
      </c>
    </row>
    <row r="82" ht="14.25" customHeight="1">
      <c r="B82" s="12" t="s">
        <v>11</v>
      </c>
      <c r="C82" s="21"/>
    </row>
    <row r="83" ht="14.25" customHeight="1">
      <c r="B83" s="12" t="s">
        <v>51</v>
      </c>
      <c r="C83" s="21"/>
    </row>
    <row r="84" ht="14.25" customHeight="1">
      <c r="B84" s="12" t="s">
        <v>52</v>
      </c>
      <c r="C84" s="21">
        <v>10.0</v>
      </c>
    </row>
    <row r="85" ht="14.25" customHeight="1">
      <c r="B85" s="12" t="s">
        <v>53</v>
      </c>
      <c r="C85" s="21">
        <v>0.0</v>
      </c>
    </row>
    <row r="86" ht="14.25" customHeight="1">
      <c r="B86" s="12" t="s">
        <v>54</v>
      </c>
      <c r="C86" s="21">
        <v>8.0</v>
      </c>
    </row>
    <row r="87" ht="14.25" customHeight="1">
      <c r="B87" s="12" t="s">
        <v>55</v>
      </c>
      <c r="C87" s="21">
        <v>15.0</v>
      </c>
    </row>
    <row r="88" ht="14.25" customHeight="1">
      <c r="B88" s="12" t="s">
        <v>12</v>
      </c>
      <c r="C88" s="21">
        <v>20.0</v>
      </c>
    </row>
    <row r="89" ht="14.25" customHeight="1">
      <c r="B89" s="12" t="s">
        <v>56</v>
      </c>
      <c r="C89" s="21"/>
    </row>
    <row r="90" ht="14.25" customHeight="1">
      <c r="B90" s="12" t="s">
        <v>57</v>
      </c>
      <c r="C90" s="21">
        <v>0.0</v>
      </c>
    </row>
    <row r="91" ht="14.25" customHeight="1">
      <c r="B91" s="12" t="s">
        <v>58</v>
      </c>
      <c r="C91" s="21">
        <v>6.0</v>
      </c>
    </row>
    <row r="92" ht="14.25" customHeight="1">
      <c r="B92" s="12" t="s">
        <v>59</v>
      </c>
      <c r="C92" s="21">
        <v>13.0</v>
      </c>
    </row>
    <row r="93" ht="14.25" customHeight="1">
      <c r="B93" s="12" t="s">
        <v>60</v>
      </c>
      <c r="C93" s="21">
        <v>20.0</v>
      </c>
    </row>
    <row r="94" ht="14.25" customHeight="1">
      <c r="B94" s="12" t="s">
        <v>13</v>
      </c>
      <c r="C94" s="21">
        <v>25.0</v>
      </c>
    </row>
    <row r="95" ht="14.25" customHeight="1">
      <c r="B95" s="12" t="s">
        <v>61</v>
      </c>
      <c r="C95" s="21"/>
    </row>
    <row r="96" ht="14.25" customHeight="1">
      <c r="B96" s="12" t="s">
        <v>62</v>
      </c>
      <c r="C96" s="21">
        <v>0.0</v>
      </c>
    </row>
    <row r="97" ht="14.25" customHeight="1">
      <c r="B97" s="12" t="s">
        <v>63</v>
      </c>
      <c r="C97" s="21">
        <v>3.0</v>
      </c>
    </row>
    <row r="98" ht="14.25" customHeight="1">
      <c r="B98" s="12" t="s">
        <v>64</v>
      </c>
      <c r="C98" s="21">
        <v>6.0</v>
      </c>
    </row>
    <row r="99" ht="14.25" customHeight="1">
      <c r="B99" s="12" t="s">
        <v>65</v>
      </c>
      <c r="C99" s="21">
        <v>9.0</v>
      </c>
    </row>
    <row r="100" ht="14.25" customHeight="1">
      <c r="B100" s="12" t="s">
        <v>14</v>
      </c>
      <c r="C100" s="21">
        <v>12.0</v>
      </c>
    </row>
    <row r="101" ht="14.25" customHeight="1">
      <c r="B101" s="12" t="s">
        <v>66</v>
      </c>
      <c r="C101" s="21"/>
    </row>
    <row r="102" ht="14.25" customHeight="1">
      <c r="B102" s="12" t="s">
        <v>67</v>
      </c>
      <c r="C102" s="21">
        <v>0.0</v>
      </c>
    </row>
    <row r="103" ht="14.25" customHeight="1">
      <c r="B103" s="12" t="s">
        <v>68</v>
      </c>
      <c r="C103" s="21">
        <v>5.0</v>
      </c>
    </row>
    <row r="104" ht="14.25" customHeight="1">
      <c r="B104" s="12" t="s">
        <v>69</v>
      </c>
      <c r="C104" s="21">
        <v>11.0</v>
      </c>
    </row>
    <row r="105" ht="14.25" customHeight="1">
      <c r="B105" s="12" t="s">
        <v>15</v>
      </c>
      <c r="C105" s="21">
        <v>18.0</v>
      </c>
    </row>
    <row r="106" ht="14.25" customHeight="1">
      <c r="B106" s="12" t="s">
        <v>70</v>
      </c>
      <c r="C106" s="22"/>
    </row>
    <row r="107" ht="14.25" customHeight="1">
      <c r="B107" s="12" t="s">
        <v>71</v>
      </c>
      <c r="C107" s="21">
        <v>0.0</v>
      </c>
    </row>
    <row r="108" ht="14.25" customHeight="1">
      <c r="B108" s="12" t="s">
        <v>72</v>
      </c>
      <c r="C108" s="21">
        <v>10.0</v>
      </c>
    </row>
    <row r="109" ht="14.25" customHeight="1">
      <c r="B109" s="12" t="s">
        <v>73</v>
      </c>
      <c r="C109" s="21">
        <v>18.0</v>
      </c>
    </row>
    <row r="110" ht="14.25" customHeight="1">
      <c r="B110" s="12" t="s">
        <v>16</v>
      </c>
      <c r="C110" s="21">
        <v>25.0</v>
      </c>
    </row>
    <row r="111" ht="14.25" customHeight="1">
      <c r="C111" s="22"/>
    </row>
    <row r="112" ht="14.25" customHeight="1">
      <c r="C112" s="21"/>
    </row>
    <row r="113" ht="14.25" customHeight="1">
      <c r="C113" s="21"/>
    </row>
    <row r="114" ht="14.25" customHeight="1">
      <c r="C114" s="21"/>
    </row>
    <row r="115" ht="14.25" customHeight="1">
      <c r="C115" s="2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4.25" customHeight="1">
      <c r="C221" s="1"/>
    </row>
    <row r="222" ht="14.25" customHeight="1">
      <c r="C222" s="1"/>
    </row>
    <row r="223" ht="14.25" customHeight="1">
      <c r="C223" s="1"/>
    </row>
    <row r="224" ht="14.25" customHeight="1">
      <c r="C224" s="1"/>
    </row>
    <row r="225" ht="14.25" customHeight="1">
      <c r="C225" s="1"/>
    </row>
    <row r="226" ht="14.25" customHeight="1">
      <c r="C226" s="1"/>
    </row>
    <row r="227" ht="14.25" customHeight="1">
      <c r="C227" s="1"/>
    </row>
    <row r="228" ht="14.25" customHeight="1">
      <c r="C228" s="1"/>
    </row>
    <row r="229" ht="14.25" customHeight="1">
      <c r="C229" s="1"/>
    </row>
    <row r="230" ht="14.25" customHeight="1">
      <c r="C230" s="1"/>
    </row>
    <row r="231" ht="14.25" customHeight="1">
      <c r="C231" s="1"/>
    </row>
    <row r="232" ht="14.25" customHeight="1">
      <c r="C232" s="1"/>
    </row>
    <row r="233" ht="14.25" customHeight="1">
      <c r="C233" s="1"/>
    </row>
    <row r="234" ht="14.25" customHeight="1">
      <c r="C234" s="1"/>
    </row>
    <row r="235" ht="14.25" customHeight="1">
      <c r="C235" s="1"/>
    </row>
    <row r="236" ht="14.25" customHeight="1">
      <c r="C236" s="1"/>
    </row>
    <row r="237" ht="14.25" customHeight="1">
      <c r="C237" s="1"/>
    </row>
    <row r="238" ht="14.25" customHeight="1">
      <c r="C238" s="1"/>
    </row>
    <row r="239" ht="14.25" customHeight="1">
      <c r="C239" s="1"/>
    </row>
    <row r="240" ht="14.25" customHeight="1">
      <c r="C240" s="1"/>
    </row>
    <row r="241" ht="14.25" customHeight="1">
      <c r="C241" s="1"/>
    </row>
    <row r="242" ht="14.25" customHeight="1">
      <c r="C242" s="1"/>
    </row>
    <row r="243" ht="14.25" customHeight="1">
      <c r="C243" s="1"/>
    </row>
    <row r="244" ht="14.25" customHeight="1">
      <c r="C244" s="1"/>
    </row>
    <row r="245" ht="14.25" customHeight="1">
      <c r="C245" s="1"/>
    </row>
    <row r="246" ht="14.25" customHeight="1">
      <c r="C246" s="1"/>
    </row>
    <row r="247" ht="14.25" customHeight="1">
      <c r="C247" s="1"/>
    </row>
    <row r="248" ht="14.25" customHeight="1">
      <c r="C248" s="1"/>
    </row>
    <row r="249" ht="14.25" customHeight="1">
      <c r="C249" s="1"/>
    </row>
    <row r="250" ht="14.25" customHeight="1">
      <c r="C250" s="1"/>
    </row>
    <row r="251" ht="14.25" customHeight="1">
      <c r="C251" s="1"/>
    </row>
    <row r="252" ht="14.25" customHeight="1">
      <c r="C252" s="1"/>
    </row>
    <row r="253" ht="14.25" customHeight="1">
      <c r="C253" s="1"/>
    </row>
    <row r="254" ht="14.25" customHeight="1">
      <c r="C254" s="1"/>
    </row>
    <row r="255" ht="14.25" customHeight="1">
      <c r="C255" s="1"/>
    </row>
    <row r="256" ht="14.25" customHeight="1">
      <c r="C256" s="1"/>
    </row>
    <row r="257" ht="14.25" customHeight="1">
      <c r="C257" s="1"/>
    </row>
    <row r="258" ht="14.25" customHeight="1">
      <c r="C258" s="1"/>
    </row>
    <row r="259" ht="14.25" customHeight="1">
      <c r="C259" s="1"/>
    </row>
    <row r="260" ht="14.25" customHeight="1">
      <c r="C260" s="1"/>
    </row>
    <row r="261" ht="14.25" customHeight="1">
      <c r="C261" s="1"/>
    </row>
    <row r="262" ht="14.25" customHeight="1">
      <c r="C262" s="1"/>
    </row>
    <row r="263" ht="14.25" customHeight="1">
      <c r="C263" s="1"/>
    </row>
    <row r="264" ht="14.25" customHeight="1">
      <c r="C264" s="1"/>
    </row>
    <row r="265" ht="14.25" customHeight="1">
      <c r="C265" s="1"/>
    </row>
    <row r="266" ht="14.25" customHeight="1">
      <c r="C266" s="1"/>
    </row>
    <row r="267" ht="14.25" customHeight="1">
      <c r="C267" s="1"/>
    </row>
    <row r="268" ht="14.25" customHeight="1">
      <c r="C268" s="1"/>
    </row>
    <row r="269" ht="14.25" customHeight="1">
      <c r="C269" s="1"/>
    </row>
    <row r="270" ht="14.25" customHeight="1">
      <c r="C270" s="1"/>
    </row>
    <row r="271" ht="14.25" customHeight="1">
      <c r="C271" s="1"/>
    </row>
    <row r="272" ht="14.25" customHeight="1">
      <c r="C272" s="1"/>
    </row>
    <row r="273" ht="14.25" customHeight="1">
      <c r="C273" s="1"/>
    </row>
    <row r="274" ht="14.25" customHeight="1">
      <c r="C274" s="1"/>
    </row>
    <row r="275" ht="14.25" customHeight="1">
      <c r="C275" s="1"/>
    </row>
    <row r="276" ht="14.25" customHeight="1">
      <c r="C276" s="1"/>
    </row>
    <row r="277" ht="14.25" customHeight="1">
      <c r="C277" s="1"/>
    </row>
    <row r="278" ht="14.25" customHeight="1">
      <c r="C278" s="1"/>
    </row>
    <row r="279" ht="14.25" customHeight="1">
      <c r="C279" s="1"/>
    </row>
    <row r="280" ht="14.25" customHeight="1">
      <c r="C280" s="1"/>
    </row>
    <row r="281" ht="14.25" customHeight="1">
      <c r="C281" s="1"/>
    </row>
    <row r="282" ht="14.25" customHeight="1">
      <c r="C282" s="1"/>
    </row>
    <row r="283" ht="14.25" customHeight="1">
      <c r="C283" s="1"/>
    </row>
    <row r="284" ht="14.25" customHeight="1">
      <c r="C284" s="1"/>
    </row>
    <row r="285" ht="14.25" customHeight="1">
      <c r="C285" s="1"/>
    </row>
    <row r="286" ht="14.25" customHeight="1">
      <c r="C286" s="1"/>
    </row>
    <row r="287" ht="14.25" customHeight="1">
      <c r="C287" s="1"/>
    </row>
    <row r="288" ht="14.25" customHeight="1">
      <c r="C288" s="1"/>
    </row>
    <row r="289" ht="14.25" customHeight="1">
      <c r="C289" s="1"/>
    </row>
    <row r="290" ht="14.25" customHeight="1">
      <c r="C290" s="1"/>
    </row>
    <row r="291" ht="14.25" customHeight="1">
      <c r="C291" s="1"/>
    </row>
    <row r="292" ht="14.25" customHeight="1">
      <c r="C292" s="1"/>
    </row>
    <row r="293" ht="14.25" customHeight="1">
      <c r="C293" s="1"/>
    </row>
    <row r="294" ht="14.25" customHeight="1">
      <c r="C294" s="1"/>
    </row>
    <row r="295" ht="14.25" customHeight="1">
      <c r="C295" s="1"/>
    </row>
    <row r="296" ht="14.25" customHeight="1">
      <c r="C296" s="1"/>
    </row>
    <row r="297" ht="14.25" customHeight="1">
      <c r="C297" s="1"/>
    </row>
    <row r="298" ht="14.25" customHeight="1">
      <c r="C298" s="1"/>
    </row>
    <row r="299" ht="14.25" customHeight="1">
      <c r="C299" s="1"/>
    </row>
    <row r="300" ht="14.25" customHeight="1">
      <c r="C300" s="1"/>
    </row>
    <row r="301" ht="14.25" customHeight="1">
      <c r="C301" s="1"/>
    </row>
    <row r="302" ht="14.25" customHeight="1">
      <c r="C302" s="1"/>
    </row>
    <row r="303" ht="14.25" customHeight="1">
      <c r="C303" s="1"/>
    </row>
    <row r="304" ht="14.25" customHeight="1">
      <c r="C304" s="1"/>
    </row>
    <row r="305" ht="14.25" customHeight="1">
      <c r="C305" s="1"/>
    </row>
    <row r="306" ht="14.25" customHeight="1">
      <c r="C306" s="1"/>
    </row>
    <row r="307" ht="14.25" customHeight="1">
      <c r="C307" s="1"/>
    </row>
    <row r="308" ht="14.25" customHeight="1">
      <c r="C308" s="1"/>
    </row>
    <row r="309" ht="14.25" customHeight="1">
      <c r="C309" s="1"/>
    </row>
    <row r="310" ht="14.25" customHeight="1">
      <c r="C310" s="1"/>
    </row>
    <row r="311" ht="14.25" customHeight="1">
      <c r="C311" s="1"/>
    </row>
    <row r="312" ht="14.25" customHeight="1">
      <c r="C312" s="1"/>
    </row>
    <row r="313" ht="14.25" customHeight="1">
      <c r="C313" s="1"/>
    </row>
    <row r="314" ht="14.25" customHeight="1">
      <c r="C314" s="1"/>
    </row>
    <row r="315" ht="14.25" customHeight="1">
      <c r="C315" s="1"/>
    </row>
    <row r="316" ht="14.25" customHeight="1">
      <c r="C316" s="1"/>
    </row>
    <row r="317" ht="14.25" customHeight="1">
      <c r="C317" s="1"/>
    </row>
    <row r="318" ht="14.25" customHeight="1">
      <c r="C318" s="1"/>
    </row>
    <row r="319" ht="14.25" customHeight="1">
      <c r="C319" s="1"/>
    </row>
    <row r="320" ht="14.25" customHeight="1">
      <c r="C320" s="1"/>
    </row>
    <row r="321" ht="14.25" customHeight="1">
      <c r="C321" s="1"/>
    </row>
    <row r="322" ht="14.25" customHeight="1">
      <c r="C322" s="1"/>
    </row>
    <row r="323" ht="14.25" customHeight="1">
      <c r="C323" s="1"/>
    </row>
    <row r="324" ht="14.25" customHeight="1">
      <c r="C324" s="1"/>
    </row>
    <row r="325" ht="14.25" customHeight="1">
      <c r="C325" s="1"/>
    </row>
    <row r="326" ht="14.25" customHeight="1">
      <c r="C326" s="1"/>
    </row>
    <row r="327" ht="14.25" customHeight="1">
      <c r="C327" s="1"/>
    </row>
    <row r="328" ht="14.25" customHeight="1">
      <c r="C328" s="1"/>
    </row>
    <row r="329" ht="14.25" customHeight="1">
      <c r="C329" s="1"/>
    </row>
    <row r="330" ht="14.25" customHeight="1">
      <c r="C330" s="1"/>
    </row>
    <row r="331" ht="14.25" customHeight="1">
      <c r="C331" s="1"/>
    </row>
    <row r="332" ht="14.25" customHeight="1">
      <c r="C332" s="1"/>
    </row>
    <row r="333" ht="14.25" customHeight="1">
      <c r="C333" s="1"/>
    </row>
    <row r="334" ht="14.25" customHeight="1">
      <c r="C334" s="1"/>
    </row>
    <row r="335" ht="14.25" customHeight="1">
      <c r="C335" s="1"/>
    </row>
    <row r="336" ht="14.25" customHeight="1">
      <c r="C336" s="1"/>
    </row>
    <row r="337" ht="14.25" customHeight="1">
      <c r="C337" s="1"/>
    </row>
    <row r="338" ht="14.25" customHeight="1">
      <c r="C338" s="1"/>
    </row>
    <row r="339" ht="14.25" customHeight="1">
      <c r="C339" s="1"/>
    </row>
    <row r="340" ht="14.25" customHeight="1">
      <c r="C340" s="1"/>
    </row>
    <row r="341" ht="14.25" customHeight="1">
      <c r="C341" s="1"/>
    </row>
    <row r="342" ht="14.25" customHeight="1">
      <c r="C342" s="1"/>
    </row>
    <row r="343" ht="14.25" customHeight="1">
      <c r="C343" s="1"/>
    </row>
    <row r="344" ht="14.25" customHeight="1">
      <c r="C344" s="1"/>
    </row>
    <row r="345" ht="14.25" customHeight="1">
      <c r="C345" s="1"/>
    </row>
    <row r="346" ht="14.25" customHeight="1">
      <c r="C346" s="1"/>
    </row>
    <row r="347" ht="14.25" customHeight="1">
      <c r="C347" s="1"/>
    </row>
    <row r="348" ht="14.25" customHeight="1">
      <c r="C348" s="1"/>
    </row>
    <row r="349" ht="14.25" customHeight="1">
      <c r="C349" s="1"/>
    </row>
    <row r="350" ht="14.25" customHeight="1">
      <c r="C350" s="1"/>
    </row>
    <row r="351" ht="14.25" customHeight="1">
      <c r="C351" s="1"/>
    </row>
    <row r="352" ht="14.25" customHeight="1">
      <c r="C352" s="1"/>
    </row>
    <row r="353" ht="14.25" customHeight="1">
      <c r="C353" s="1"/>
    </row>
    <row r="354" ht="14.25" customHeight="1">
      <c r="C354" s="1"/>
    </row>
    <row r="355" ht="14.25" customHeight="1">
      <c r="C355" s="1"/>
    </row>
    <row r="356" ht="14.25" customHeight="1">
      <c r="C356" s="1"/>
    </row>
    <row r="357" ht="14.25" customHeight="1">
      <c r="C357" s="1"/>
    </row>
    <row r="358" ht="14.25" customHeight="1">
      <c r="C358" s="1"/>
    </row>
    <row r="359" ht="14.25" customHeight="1">
      <c r="C359" s="1"/>
    </row>
    <row r="360" ht="14.25" customHeight="1">
      <c r="C360" s="1"/>
    </row>
    <row r="361" ht="14.25" customHeight="1">
      <c r="C361" s="1"/>
    </row>
    <row r="362" ht="14.25" customHeight="1">
      <c r="C362" s="1"/>
    </row>
    <row r="363" ht="14.25" customHeight="1">
      <c r="C363" s="1"/>
    </row>
    <row r="364" ht="14.25" customHeight="1">
      <c r="C364" s="1"/>
    </row>
    <row r="365" ht="14.25" customHeight="1">
      <c r="C365" s="1"/>
    </row>
    <row r="366" ht="14.25" customHeight="1">
      <c r="C366" s="1"/>
    </row>
    <row r="367" ht="14.25" customHeight="1">
      <c r="C367" s="1"/>
    </row>
    <row r="368" ht="14.25" customHeight="1">
      <c r="C368" s="1"/>
    </row>
    <row r="369" ht="14.25" customHeight="1">
      <c r="C369" s="1"/>
    </row>
    <row r="370" ht="14.25" customHeight="1">
      <c r="C370" s="1"/>
    </row>
    <row r="371" ht="14.25" customHeight="1">
      <c r="C371" s="1"/>
    </row>
    <row r="372" ht="14.25" customHeight="1">
      <c r="C372" s="1"/>
    </row>
    <row r="373" ht="14.25" customHeight="1">
      <c r="C373" s="1"/>
    </row>
    <row r="374" ht="14.25" customHeight="1">
      <c r="C374" s="1"/>
    </row>
    <row r="375" ht="14.25" customHeight="1">
      <c r="C375" s="1"/>
    </row>
    <row r="376" ht="14.25" customHeight="1">
      <c r="C376" s="1"/>
    </row>
    <row r="377" ht="14.25" customHeight="1">
      <c r="C377" s="1"/>
    </row>
    <row r="378" ht="14.25" customHeight="1">
      <c r="C378" s="1"/>
    </row>
    <row r="379" ht="14.25" customHeight="1">
      <c r="C379" s="1"/>
    </row>
    <row r="380" ht="14.25" customHeight="1">
      <c r="C380" s="1"/>
    </row>
    <row r="381" ht="14.25" customHeight="1">
      <c r="C381" s="1"/>
    </row>
    <row r="382" ht="14.25" customHeight="1">
      <c r="C382" s="1"/>
    </row>
    <row r="383" ht="14.25" customHeight="1">
      <c r="C383" s="1"/>
    </row>
    <row r="384" ht="14.25" customHeight="1">
      <c r="C384" s="1"/>
    </row>
    <row r="385" ht="14.25" customHeight="1">
      <c r="C385" s="1"/>
    </row>
    <row r="386" ht="14.25" customHeight="1">
      <c r="C386" s="1"/>
    </row>
    <row r="387" ht="14.25" customHeight="1">
      <c r="C387" s="1"/>
    </row>
    <row r="388" ht="14.25" customHeight="1">
      <c r="C388" s="1"/>
    </row>
    <row r="389" ht="14.25" customHeight="1">
      <c r="C389" s="1"/>
    </row>
    <row r="390" ht="14.25" customHeight="1">
      <c r="C390" s="1"/>
    </row>
    <row r="391" ht="14.25" customHeight="1">
      <c r="C391" s="1"/>
    </row>
    <row r="392" ht="14.25" customHeight="1">
      <c r="C392" s="1"/>
    </row>
    <row r="393" ht="14.25" customHeight="1">
      <c r="C393" s="1"/>
    </row>
    <row r="394" ht="14.25" customHeight="1">
      <c r="C394" s="1"/>
    </row>
    <row r="395" ht="14.25" customHeight="1">
      <c r="C395" s="1"/>
    </row>
    <row r="396" ht="14.25" customHeight="1">
      <c r="C396" s="1"/>
    </row>
    <row r="397" ht="14.25" customHeight="1">
      <c r="C397" s="1"/>
    </row>
    <row r="398" ht="14.25" customHeight="1">
      <c r="C398" s="1"/>
    </row>
    <row r="399" ht="14.25" customHeight="1">
      <c r="C399" s="1"/>
    </row>
    <row r="400" ht="14.25" customHeight="1">
      <c r="C400" s="1"/>
    </row>
    <row r="401" ht="14.25" customHeight="1">
      <c r="C401" s="1"/>
    </row>
    <row r="402" ht="14.25" customHeight="1">
      <c r="C402" s="1"/>
    </row>
    <row r="403" ht="14.25" customHeight="1">
      <c r="C403" s="1"/>
    </row>
    <row r="404" ht="14.25" customHeight="1">
      <c r="C404" s="1"/>
    </row>
    <row r="405" ht="14.25" customHeight="1">
      <c r="C405" s="1"/>
    </row>
    <row r="406" ht="14.25" customHeight="1">
      <c r="C406" s="1"/>
    </row>
    <row r="407" ht="14.25" customHeight="1">
      <c r="C407" s="1"/>
    </row>
    <row r="408" ht="14.25" customHeight="1">
      <c r="C408" s="1"/>
    </row>
    <row r="409" ht="14.25" customHeight="1">
      <c r="C409" s="1"/>
    </row>
    <row r="410" ht="14.25" customHeight="1">
      <c r="C410" s="1"/>
    </row>
    <row r="411" ht="14.25" customHeight="1">
      <c r="C411" s="1"/>
    </row>
    <row r="412" ht="14.25" customHeight="1">
      <c r="C412" s="1"/>
    </row>
    <row r="413" ht="14.25" customHeight="1">
      <c r="C413" s="1"/>
    </row>
    <row r="414" ht="14.25" customHeight="1">
      <c r="C414" s="1"/>
    </row>
    <row r="415" ht="14.25" customHeight="1">
      <c r="C415" s="1"/>
    </row>
    <row r="416" ht="14.25" customHeight="1">
      <c r="C416" s="1"/>
    </row>
    <row r="417" ht="14.25" customHeight="1">
      <c r="C417" s="1"/>
    </row>
    <row r="418" ht="14.25" customHeight="1">
      <c r="C418" s="1"/>
    </row>
    <row r="419" ht="14.25" customHeight="1">
      <c r="C419" s="1"/>
    </row>
    <row r="420" ht="14.25" customHeight="1">
      <c r="C420" s="1"/>
    </row>
    <row r="421" ht="14.25" customHeight="1">
      <c r="C421" s="1"/>
    </row>
    <row r="422" ht="14.25" customHeight="1">
      <c r="C422" s="1"/>
    </row>
    <row r="423" ht="14.25" customHeight="1">
      <c r="C423" s="1"/>
    </row>
    <row r="424" ht="14.25" customHeight="1">
      <c r="C424" s="1"/>
    </row>
    <row r="425" ht="14.25" customHeight="1">
      <c r="C425" s="1"/>
    </row>
    <row r="426" ht="14.25" customHeight="1">
      <c r="C426" s="1"/>
    </row>
    <row r="427" ht="14.25" customHeight="1">
      <c r="C427" s="1"/>
    </row>
    <row r="428" ht="14.25" customHeight="1">
      <c r="C428" s="1"/>
    </row>
    <row r="429" ht="14.25" customHeight="1">
      <c r="C429" s="1"/>
    </row>
    <row r="430" ht="14.25" customHeight="1">
      <c r="C430" s="1"/>
    </row>
    <row r="431" ht="14.25" customHeight="1">
      <c r="C431" s="1"/>
    </row>
    <row r="432" ht="14.25" customHeight="1">
      <c r="C432" s="1"/>
    </row>
    <row r="433" ht="14.25" customHeight="1">
      <c r="C433" s="1"/>
    </row>
    <row r="434" ht="14.25" customHeight="1">
      <c r="C434" s="1"/>
    </row>
    <row r="435" ht="14.25" customHeight="1">
      <c r="C435" s="1"/>
    </row>
    <row r="436" ht="14.25" customHeight="1">
      <c r="C436" s="1"/>
    </row>
    <row r="437" ht="14.25" customHeight="1">
      <c r="C437" s="1"/>
    </row>
    <row r="438" ht="14.25" customHeight="1">
      <c r="C438" s="1"/>
    </row>
    <row r="439" ht="14.25" customHeight="1">
      <c r="C439" s="1"/>
    </row>
    <row r="440" ht="14.25" customHeight="1">
      <c r="C440" s="1"/>
    </row>
    <row r="441" ht="14.25" customHeight="1">
      <c r="C441" s="1"/>
    </row>
    <row r="442" ht="14.25" customHeight="1">
      <c r="C442" s="1"/>
    </row>
    <row r="443" ht="14.25" customHeight="1">
      <c r="C443" s="1"/>
    </row>
    <row r="444" ht="14.25" customHeight="1">
      <c r="C444" s="1"/>
    </row>
    <row r="445" ht="14.25" customHeight="1">
      <c r="C445" s="1"/>
    </row>
    <row r="446" ht="14.25" customHeight="1">
      <c r="C446" s="1"/>
    </row>
    <row r="447" ht="14.25" customHeight="1">
      <c r="C447" s="1"/>
    </row>
    <row r="448" ht="14.25" customHeight="1">
      <c r="C448" s="1"/>
    </row>
    <row r="449" ht="14.25" customHeight="1">
      <c r="C449" s="1"/>
    </row>
    <row r="450" ht="14.25" customHeight="1">
      <c r="C450" s="1"/>
    </row>
    <row r="451" ht="14.25" customHeight="1">
      <c r="C451" s="1"/>
    </row>
    <row r="452" ht="14.25" customHeight="1">
      <c r="C452" s="1"/>
    </row>
    <row r="453" ht="14.25" customHeight="1">
      <c r="C453" s="1"/>
    </row>
    <row r="454" ht="14.25" customHeight="1">
      <c r="C454" s="1"/>
    </row>
    <row r="455" ht="14.25" customHeight="1">
      <c r="C455" s="1"/>
    </row>
    <row r="456" ht="14.25" customHeight="1">
      <c r="C456" s="1"/>
    </row>
    <row r="457" ht="14.25" customHeight="1">
      <c r="C457" s="1"/>
    </row>
    <row r="458" ht="14.25" customHeight="1">
      <c r="C458" s="1"/>
    </row>
    <row r="459" ht="14.25" customHeight="1">
      <c r="C459" s="1"/>
    </row>
    <row r="460" ht="14.25" customHeight="1">
      <c r="C460" s="1"/>
    </row>
    <row r="461" ht="14.25" customHeight="1">
      <c r="C461" s="1"/>
    </row>
    <row r="462" ht="14.25" customHeight="1">
      <c r="C462" s="1"/>
    </row>
    <row r="463" ht="14.25" customHeight="1">
      <c r="C463" s="1"/>
    </row>
    <row r="464" ht="14.25" customHeight="1">
      <c r="C464" s="1"/>
    </row>
    <row r="465" ht="14.25" customHeight="1">
      <c r="C465" s="1"/>
    </row>
    <row r="466" ht="14.25" customHeight="1">
      <c r="C466" s="1"/>
    </row>
    <row r="467" ht="14.25" customHeight="1">
      <c r="C467" s="1"/>
    </row>
    <row r="468" ht="14.25" customHeight="1">
      <c r="C468" s="1"/>
    </row>
    <row r="469" ht="14.25" customHeight="1">
      <c r="C469" s="1"/>
    </row>
    <row r="470" ht="14.25" customHeight="1">
      <c r="C470" s="1"/>
    </row>
    <row r="471" ht="14.25" customHeight="1">
      <c r="C471" s="1"/>
    </row>
    <row r="472" ht="14.25" customHeight="1">
      <c r="C472" s="1"/>
    </row>
    <row r="473" ht="14.25" customHeight="1">
      <c r="C473" s="1"/>
    </row>
    <row r="474" ht="14.25" customHeight="1">
      <c r="C474" s="1"/>
    </row>
    <row r="475" ht="14.25" customHeight="1">
      <c r="C475" s="1"/>
    </row>
    <row r="476" ht="14.25" customHeight="1">
      <c r="C476" s="1"/>
    </row>
    <row r="477" ht="14.25" customHeight="1">
      <c r="C477" s="1"/>
    </row>
    <row r="478" ht="14.25" customHeight="1">
      <c r="C478" s="1"/>
    </row>
    <row r="479" ht="14.25" customHeight="1">
      <c r="C479" s="1"/>
    </row>
    <row r="480" ht="14.25" customHeight="1">
      <c r="C480" s="1"/>
    </row>
    <row r="481" ht="14.25" customHeight="1">
      <c r="C481" s="1"/>
    </row>
    <row r="482" ht="14.25" customHeight="1">
      <c r="C482" s="1"/>
    </row>
    <row r="483" ht="14.25" customHeight="1">
      <c r="C483" s="1"/>
    </row>
    <row r="484" ht="14.25" customHeight="1">
      <c r="C484" s="1"/>
    </row>
    <row r="485" ht="14.25" customHeight="1">
      <c r="C485" s="1"/>
    </row>
    <row r="486" ht="14.25" customHeight="1">
      <c r="C486" s="1"/>
    </row>
    <row r="487" ht="14.25" customHeight="1">
      <c r="C487" s="1"/>
    </row>
    <row r="488" ht="14.25" customHeight="1">
      <c r="C488" s="1"/>
    </row>
    <row r="489" ht="14.25" customHeight="1">
      <c r="C489" s="1"/>
    </row>
    <row r="490" ht="14.25" customHeight="1">
      <c r="C490" s="1"/>
    </row>
    <row r="491" ht="14.25" customHeight="1">
      <c r="C491" s="1"/>
    </row>
    <row r="492" ht="14.25" customHeight="1">
      <c r="C492" s="1"/>
    </row>
    <row r="493" ht="14.25" customHeight="1">
      <c r="C493" s="1"/>
    </row>
    <row r="494" ht="14.25" customHeight="1">
      <c r="C494" s="1"/>
    </row>
    <row r="495" ht="14.25" customHeight="1">
      <c r="C495" s="1"/>
    </row>
    <row r="496" ht="14.25" customHeight="1">
      <c r="C496" s="1"/>
    </row>
    <row r="497" ht="14.25" customHeight="1">
      <c r="C497" s="1"/>
    </row>
    <row r="498" ht="14.25" customHeight="1">
      <c r="C498" s="1"/>
    </row>
    <row r="499" ht="14.25" customHeight="1">
      <c r="C499" s="1"/>
    </row>
    <row r="500" ht="14.25" customHeight="1">
      <c r="C500" s="1"/>
    </row>
    <row r="501" ht="14.25" customHeight="1">
      <c r="C501" s="1"/>
    </row>
    <row r="502" ht="14.25" customHeight="1">
      <c r="C502" s="1"/>
    </row>
    <row r="503" ht="14.25" customHeight="1">
      <c r="C503" s="1"/>
    </row>
    <row r="504" ht="14.25" customHeight="1">
      <c r="C504" s="1"/>
    </row>
    <row r="505" ht="14.25" customHeight="1">
      <c r="C505" s="1"/>
    </row>
    <row r="506" ht="14.25" customHeight="1">
      <c r="C506" s="1"/>
    </row>
    <row r="507" ht="14.25" customHeight="1">
      <c r="C507" s="1"/>
    </row>
    <row r="508" ht="14.25" customHeight="1">
      <c r="C508" s="1"/>
    </row>
    <row r="509" ht="14.25" customHeight="1">
      <c r="C509" s="1"/>
    </row>
    <row r="510" ht="14.25" customHeight="1">
      <c r="C510" s="1"/>
    </row>
    <row r="511" ht="14.25" customHeight="1">
      <c r="C511" s="1"/>
    </row>
    <row r="512" ht="14.25" customHeight="1">
      <c r="C512" s="1"/>
    </row>
    <row r="513" ht="14.25" customHeight="1">
      <c r="C513" s="1"/>
    </row>
    <row r="514" ht="14.25" customHeight="1">
      <c r="C514" s="1"/>
    </row>
    <row r="515" ht="14.25" customHeight="1">
      <c r="C515" s="1"/>
    </row>
    <row r="516" ht="14.25" customHeight="1">
      <c r="C516" s="1"/>
    </row>
    <row r="517" ht="14.25" customHeight="1">
      <c r="C517" s="1"/>
    </row>
    <row r="518" ht="14.25" customHeight="1">
      <c r="C518" s="1"/>
    </row>
    <row r="519" ht="14.25" customHeight="1">
      <c r="C519" s="1"/>
    </row>
    <row r="520" ht="14.25" customHeight="1">
      <c r="C520" s="1"/>
    </row>
    <row r="521" ht="14.25" customHeight="1">
      <c r="C521" s="1"/>
    </row>
    <row r="522" ht="14.25" customHeight="1">
      <c r="C522" s="1"/>
    </row>
    <row r="523" ht="14.25" customHeight="1">
      <c r="C523" s="1"/>
    </row>
    <row r="524" ht="14.25" customHeight="1">
      <c r="C524" s="1"/>
    </row>
    <row r="525" ht="14.25" customHeight="1">
      <c r="C525" s="1"/>
    </row>
    <row r="526" ht="14.25" customHeight="1">
      <c r="C526" s="1"/>
    </row>
    <row r="527" ht="14.25" customHeight="1">
      <c r="C527" s="1"/>
    </row>
    <row r="528" ht="14.25" customHeight="1">
      <c r="C528" s="1"/>
    </row>
    <row r="529" ht="14.25" customHeight="1">
      <c r="C529" s="1"/>
    </row>
    <row r="530" ht="14.25" customHeight="1">
      <c r="C530" s="1"/>
    </row>
    <row r="531" ht="14.25" customHeight="1">
      <c r="C531" s="1"/>
    </row>
    <row r="532" ht="14.25" customHeight="1">
      <c r="C532" s="1"/>
    </row>
    <row r="533" ht="14.25" customHeight="1">
      <c r="C533" s="1"/>
    </row>
    <row r="534" ht="14.25" customHeight="1">
      <c r="C534" s="1"/>
    </row>
    <row r="535" ht="14.25" customHeight="1">
      <c r="C535" s="1"/>
    </row>
    <row r="536" ht="14.25" customHeight="1">
      <c r="C536" s="1"/>
    </row>
    <row r="537" ht="14.25" customHeight="1">
      <c r="C537" s="1"/>
    </row>
    <row r="538" ht="14.25" customHeight="1">
      <c r="C538" s="1"/>
    </row>
    <row r="539" ht="14.25" customHeight="1">
      <c r="C539" s="1"/>
    </row>
    <row r="540" ht="14.25" customHeight="1">
      <c r="C540" s="1"/>
    </row>
    <row r="541" ht="14.25" customHeight="1">
      <c r="C541" s="1"/>
    </row>
    <row r="542" ht="14.25" customHeight="1">
      <c r="C542" s="1"/>
    </row>
    <row r="543" ht="14.25" customHeight="1">
      <c r="C543" s="1"/>
    </row>
    <row r="544" ht="14.25" customHeight="1">
      <c r="C544" s="1"/>
    </row>
    <row r="545" ht="14.25" customHeight="1">
      <c r="C545" s="1"/>
    </row>
    <row r="546" ht="14.25" customHeight="1">
      <c r="C546" s="1"/>
    </row>
    <row r="547" ht="14.25" customHeight="1">
      <c r="C547" s="1"/>
    </row>
    <row r="548" ht="14.25" customHeight="1">
      <c r="C548" s="1"/>
    </row>
    <row r="549" ht="14.25" customHeight="1">
      <c r="C549" s="1"/>
    </row>
    <row r="550" ht="14.25" customHeight="1">
      <c r="C550" s="1"/>
    </row>
    <row r="551" ht="14.25" customHeight="1">
      <c r="C551" s="1"/>
    </row>
    <row r="552" ht="14.25" customHeight="1">
      <c r="C552" s="1"/>
    </row>
    <row r="553" ht="14.25" customHeight="1">
      <c r="C553" s="1"/>
    </row>
    <row r="554" ht="14.25" customHeight="1">
      <c r="C554" s="1"/>
    </row>
    <row r="555" ht="14.25" customHeight="1">
      <c r="C555" s="1"/>
    </row>
    <row r="556" ht="14.25" customHeight="1">
      <c r="C556" s="1"/>
    </row>
    <row r="557" ht="14.25" customHeight="1">
      <c r="C557" s="1"/>
    </row>
    <row r="558" ht="14.25" customHeight="1">
      <c r="C558" s="1"/>
    </row>
    <row r="559" ht="14.25" customHeight="1">
      <c r="C559" s="1"/>
    </row>
    <row r="560" ht="14.25" customHeight="1">
      <c r="C560" s="1"/>
    </row>
    <row r="561" ht="14.25" customHeight="1">
      <c r="C561" s="1"/>
    </row>
    <row r="562" ht="14.25" customHeight="1">
      <c r="C562" s="1"/>
    </row>
    <row r="563" ht="14.25" customHeight="1">
      <c r="C563" s="1"/>
    </row>
    <row r="564" ht="14.25" customHeight="1">
      <c r="C564" s="1"/>
    </row>
    <row r="565" ht="14.25" customHeight="1">
      <c r="C565" s="1"/>
    </row>
    <row r="566" ht="14.25" customHeight="1">
      <c r="C566" s="1"/>
    </row>
    <row r="567" ht="14.25" customHeight="1">
      <c r="C567" s="1"/>
    </row>
    <row r="568" ht="14.25" customHeight="1">
      <c r="C568" s="1"/>
    </row>
    <row r="569" ht="14.25" customHeight="1">
      <c r="C569" s="1"/>
    </row>
    <row r="570" ht="14.25" customHeight="1">
      <c r="C570" s="1"/>
    </row>
    <row r="571" ht="14.25" customHeight="1">
      <c r="C571" s="1"/>
    </row>
    <row r="572" ht="14.25" customHeight="1">
      <c r="C572" s="1"/>
    </row>
    <row r="573" ht="14.25" customHeight="1">
      <c r="C573" s="1"/>
    </row>
    <row r="574" ht="14.25" customHeight="1">
      <c r="C574" s="1"/>
    </row>
    <row r="575" ht="14.25" customHeight="1">
      <c r="C575" s="1"/>
    </row>
    <row r="576" ht="14.25" customHeight="1">
      <c r="C576" s="1"/>
    </row>
    <row r="577" ht="14.25" customHeight="1">
      <c r="C577" s="1"/>
    </row>
    <row r="578" ht="14.25" customHeight="1">
      <c r="C578" s="1"/>
    </row>
    <row r="579" ht="14.25" customHeight="1">
      <c r="C579" s="1"/>
    </row>
    <row r="580" ht="14.25" customHeight="1">
      <c r="C580" s="1"/>
    </row>
    <row r="581" ht="14.25" customHeight="1">
      <c r="C581" s="1"/>
    </row>
    <row r="582" ht="14.25" customHeight="1">
      <c r="C582" s="1"/>
    </row>
    <row r="583" ht="14.25" customHeight="1">
      <c r="C583" s="1"/>
    </row>
    <row r="584" ht="14.25" customHeight="1">
      <c r="C584" s="1"/>
    </row>
    <row r="585" ht="14.25" customHeight="1">
      <c r="C585" s="1"/>
    </row>
    <row r="586" ht="14.25" customHeight="1">
      <c r="C586" s="1"/>
    </row>
    <row r="587" ht="14.25" customHeight="1">
      <c r="C587" s="1"/>
    </row>
    <row r="588" ht="14.25" customHeight="1">
      <c r="C588" s="1"/>
    </row>
    <row r="589" ht="14.25" customHeight="1">
      <c r="C589" s="1"/>
    </row>
    <row r="590" ht="14.25" customHeight="1">
      <c r="C590" s="1"/>
    </row>
    <row r="591" ht="14.25" customHeight="1">
      <c r="C591" s="1"/>
    </row>
    <row r="592" ht="14.25" customHeight="1">
      <c r="C592" s="1"/>
    </row>
    <row r="593" ht="14.25" customHeight="1">
      <c r="C593" s="1"/>
    </row>
    <row r="594" ht="14.25" customHeight="1">
      <c r="C594" s="1"/>
    </row>
    <row r="595" ht="14.25" customHeight="1">
      <c r="C595" s="1"/>
    </row>
    <row r="596" ht="14.25" customHeight="1">
      <c r="C596" s="1"/>
    </row>
    <row r="597" ht="14.25" customHeight="1">
      <c r="C597" s="1"/>
    </row>
    <row r="598" ht="14.25" customHeight="1">
      <c r="C598" s="1"/>
    </row>
    <row r="599" ht="14.25" customHeight="1">
      <c r="C599" s="1"/>
    </row>
    <row r="600" ht="14.25" customHeight="1">
      <c r="C600" s="1"/>
    </row>
    <row r="601" ht="14.25" customHeight="1">
      <c r="C601" s="1"/>
    </row>
    <row r="602" ht="14.25" customHeight="1">
      <c r="C602" s="1"/>
    </row>
    <row r="603" ht="14.25" customHeight="1">
      <c r="C603" s="1"/>
    </row>
    <row r="604" ht="14.25" customHeight="1">
      <c r="C604" s="1"/>
    </row>
    <row r="605" ht="14.25" customHeight="1">
      <c r="C605" s="1"/>
    </row>
    <row r="606" ht="14.25" customHeight="1">
      <c r="C606" s="1"/>
    </row>
    <row r="607" ht="14.25" customHeight="1">
      <c r="C607" s="1"/>
    </row>
    <row r="608" ht="14.25" customHeight="1">
      <c r="C608" s="1"/>
    </row>
    <row r="609" ht="14.25" customHeight="1">
      <c r="C609" s="1"/>
    </row>
    <row r="610" ht="14.25" customHeight="1">
      <c r="C610" s="1"/>
    </row>
    <row r="611" ht="14.25" customHeight="1">
      <c r="C611" s="1"/>
    </row>
    <row r="612" ht="14.25" customHeight="1">
      <c r="C612" s="1"/>
    </row>
    <row r="613" ht="14.25" customHeight="1">
      <c r="C613" s="1"/>
    </row>
    <row r="614" ht="14.25" customHeight="1">
      <c r="C614" s="1"/>
    </row>
    <row r="615" ht="14.25" customHeight="1">
      <c r="C615" s="1"/>
    </row>
    <row r="616" ht="14.25" customHeight="1">
      <c r="C616" s="1"/>
    </row>
    <row r="617" ht="14.25" customHeight="1">
      <c r="C617" s="1"/>
    </row>
    <row r="618" ht="14.25" customHeight="1">
      <c r="C618" s="1"/>
    </row>
    <row r="619" ht="14.25" customHeight="1">
      <c r="C619" s="1"/>
    </row>
    <row r="620" ht="14.25" customHeight="1">
      <c r="C620" s="1"/>
    </row>
    <row r="621" ht="14.25" customHeight="1">
      <c r="C621" s="1"/>
    </row>
    <row r="622" ht="14.25" customHeight="1">
      <c r="C622" s="1"/>
    </row>
    <row r="623" ht="14.25" customHeight="1">
      <c r="C623" s="1"/>
    </row>
    <row r="624" ht="14.25" customHeight="1">
      <c r="C624" s="1"/>
    </row>
    <row r="625" ht="14.25" customHeight="1">
      <c r="C625" s="1"/>
    </row>
    <row r="626" ht="14.25" customHeight="1">
      <c r="C626" s="1"/>
    </row>
    <row r="627" ht="14.25" customHeight="1">
      <c r="C627" s="1"/>
    </row>
    <row r="628" ht="14.25" customHeight="1">
      <c r="C628" s="1"/>
    </row>
    <row r="629" ht="14.25" customHeight="1">
      <c r="C629" s="1"/>
    </row>
    <row r="630" ht="14.25" customHeight="1">
      <c r="C630" s="1"/>
    </row>
    <row r="631" ht="14.25" customHeight="1">
      <c r="C631" s="1"/>
    </row>
    <row r="632" ht="14.25" customHeight="1">
      <c r="C632" s="1"/>
    </row>
    <row r="633" ht="14.25" customHeight="1">
      <c r="C633" s="1"/>
    </row>
    <row r="634" ht="14.25" customHeight="1">
      <c r="C634" s="1"/>
    </row>
    <row r="635" ht="14.25" customHeight="1">
      <c r="C635" s="1"/>
    </row>
    <row r="636" ht="14.25" customHeight="1">
      <c r="C636" s="1"/>
    </row>
    <row r="637" ht="14.25" customHeight="1">
      <c r="C637" s="1"/>
    </row>
    <row r="638" ht="14.25" customHeight="1">
      <c r="C638" s="1"/>
    </row>
    <row r="639" ht="14.25" customHeight="1">
      <c r="C639" s="1"/>
    </row>
    <row r="640" ht="14.25" customHeight="1">
      <c r="C640" s="1"/>
    </row>
    <row r="641" ht="14.25" customHeight="1">
      <c r="C641" s="1"/>
    </row>
    <row r="642" ht="14.25" customHeight="1">
      <c r="C642" s="1"/>
    </row>
    <row r="643" ht="14.25" customHeight="1">
      <c r="C643" s="1"/>
    </row>
    <row r="644" ht="14.25" customHeight="1">
      <c r="C644" s="1"/>
    </row>
    <row r="645" ht="14.25" customHeight="1">
      <c r="C645" s="1"/>
    </row>
    <row r="646" ht="14.25" customHeight="1">
      <c r="C646" s="1"/>
    </row>
    <row r="647" ht="14.25" customHeight="1">
      <c r="C647" s="1"/>
    </row>
    <row r="648" ht="14.25" customHeight="1">
      <c r="C648" s="1"/>
    </row>
    <row r="649" ht="14.25" customHeight="1">
      <c r="C649" s="1"/>
    </row>
    <row r="650" ht="14.25" customHeight="1">
      <c r="C650" s="1"/>
    </row>
    <row r="651" ht="14.25" customHeight="1">
      <c r="C651" s="1"/>
    </row>
    <row r="652" ht="14.25" customHeight="1">
      <c r="C652" s="1"/>
    </row>
    <row r="653" ht="14.25" customHeight="1">
      <c r="C653" s="1"/>
    </row>
    <row r="654" ht="14.25" customHeight="1">
      <c r="C654" s="1"/>
    </row>
    <row r="655" ht="14.25" customHeight="1">
      <c r="C655" s="1"/>
    </row>
    <row r="656" ht="14.25" customHeight="1">
      <c r="C656" s="1"/>
    </row>
    <row r="657" ht="14.25" customHeight="1">
      <c r="C657" s="1"/>
    </row>
    <row r="658" ht="14.25" customHeight="1">
      <c r="C658" s="1"/>
    </row>
    <row r="659" ht="14.25" customHeight="1">
      <c r="C659" s="1"/>
    </row>
    <row r="660" ht="14.25" customHeight="1">
      <c r="C660" s="1"/>
    </row>
    <row r="661" ht="14.25" customHeight="1">
      <c r="C661" s="1"/>
    </row>
    <row r="662" ht="14.25" customHeight="1">
      <c r="C662" s="1"/>
    </row>
    <row r="663" ht="14.25" customHeight="1">
      <c r="C663" s="1"/>
    </row>
    <row r="664" ht="14.25" customHeight="1">
      <c r="C664" s="1"/>
    </row>
    <row r="665" ht="14.25" customHeight="1">
      <c r="C665" s="1"/>
    </row>
    <row r="666" ht="14.25" customHeight="1">
      <c r="C666" s="1"/>
    </row>
    <row r="667" ht="14.25" customHeight="1">
      <c r="C667" s="1"/>
    </row>
    <row r="668" ht="14.25" customHeight="1">
      <c r="C668" s="1"/>
    </row>
    <row r="669" ht="14.25" customHeight="1">
      <c r="C669" s="1"/>
    </row>
    <row r="670" ht="14.25" customHeight="1">
      <c r="C670" s="1"/>
    </row>
    <row r="671" ht="14.25" customHeight="1">
      <c r="C671" s="1"/>
    </row>
    <row r="672" ht="14.25" customHeight="1">
      <c r="C672" s="1"/>
    </row>
    <row r="673" ht="14.25" customHeight="1">
      <c r="C673" s="1"/>
    </row>
    <row r="674" ht="14.25" customHeight="1">
      <c r="C674" s="1"/>
    </row>
    <row r="675" ht="14.25" customHeight="1">
      <c r="C675" s="1"/>
    </row>
    <row r="676" ht="14.25" customHeight="1">
      <c r="C676" s="1"/>
    </row>
    <row r="677" ht="14.25" customHeight="1">
      <c r="C677" s="1"/>
    </row>
    <row r="678" ht="14.25" customHeight="1">
      <c r="C678" s="1"/>
    </row>
    <row r="679" ht="14.25" customHeight="1">
      <c r="C679" s="1"/>
    </row>
    <row r="680" ht="14.25" customHeight="1">
      <c r="C680" s="1"/>
    </row>
    <row r="681" ht="14.25" customHeight="1">
      <c r="C681" s="1"/>
    </row>
    <row r="682" ht="14.25" customHeight="1">
      <c r="C682" s="1"/>
    </row>
    <row r="683" ht="14.25" customHeight="1">
      <c r="C683" s="1"/>
    </row>
    <row r="684" ht="14.25" customHeight="1">
      <c r="C684" s="1"/>
    </row>
    <row r="685" ht="14.25" customHeight="1">
      <c r="C685" s="1"/>
    </row>
    <row r="686" ht="14.25" customHeight="1">
      <c r="C686" s="1"/>
    </row>
    <row r="687" ht="14.25" customHeight="1">
      <c r="C687" s="1"/>
    </row>
    <row r="688" ht="14.25" customHeight="1">
      <c r="C688" s="1"/>
    </row>
    <row r="689" ht="14.25" customHeight="1">
      <c r="C689" s="1"/>
    </row>
    <row r="690" ht="14.25" customHeight="1">
      <c r="C690" s="1"/>
    </row>
    <row r="691" ht="14.25" customHeight="1">
      <c r="C691" s="1"/>
    </row>
    <row r="692" ht="14.25" customHeight="1">
      <c r="C692" s="1"/>
    </row>
    <row r="693" ht="14.25" customHeight="1">
      <c r="C693" s="1"/>
    </row>
    <row r="694" ht="14.25" customHeight="1">
      <c r="C694" s="1"/>
    </row>
    <row r="695" ht="14.25" customHeight="1">
      <c r="C695" s="1"/>
    </row>
    <row r="696" ht="14.25" customHeight="1">
      <c r="C696" s="1"/>
    </row>
    <row r="697" ht="14.25" customHeight="1">
      <c r="C697" s="1"/>
    </row>
    <row r="698" ht="14.25" customHeight="1">
      <c r="C698" s="1"/>
    </row>
    <row r="699" ht="14.25" customHeight="1">
      <c r="C699" s="1"/>
    </row>
    <row r="700" ht="14.25" customHeight="1">
      <c r="C700" s="1"/>
    </row>
    <row r="701" ht="14.25" customHeight="1">
      <c r="C701" s="1"/>
    </row>
    <row r="702" ht="14.25" customHeight="1">
      <c r="C702" s="1"/>
    </row>
    <row r="703" ht="14.25" customHeight="1">
      <c r="C703" s="1"/>
    </row>
    <row r="704" ht="14.25" customHeight="1">
      <c r="C704" s="1"/>
    </row>
    <row r="705" ht="14.25" customHeight="1">
      <c r="C705" s="1"/>
    </row>
    <row r="706" ht="14.25" customHeight="1">
      <c r="C706" s="1"/>
    </row>
    <row r="707" ht="14.25" customHeight="1">
      <c r="C707" s="1"/>
    </row>
    <row r="708" ht="14.25" customHeight="1">
      <c r="C708" s="1"/>
    </row>
    <row r="709" ht="14.25" customHeight="1">
      <c r="C709" s="1"/>
    </row>
    <row r="710" ht="14.25" customHeight="1">
      <c r="C710" s="1"/>
    </row>
    <row r="711" ht="14.25" customHeight="1">
      <c r="C711" s="1"/>
    </row>
    <row r="712" ht="14.25" customHeight="1">
      <c r="C712" s="1"/>
    </row>
    <row r="713" ht="14.25" customHeight="1">
      <c r="C713" s="1"/>
    </row>
    <row r="714" ht="14.25" customHeight="1">
      <c r="C714" s="1"/>
    </row>
    <row r="715" ht="14.25" customHeight="1">
      <c r="C715" s="1"/>
    </row>
    <row r="716" ht="14.25" customHeight="1">
      <c r="C716" s="1"/>
    </row>
    <row r="717" ht="14.25" customHeight="1">
      <c r="C717" s="1"/>
    </row>
    <row r="718" ht="14.25" customHeight="1">
      <c r="C718" s="1"/>
    </row>
    <row r="719" ht="14.25" customHeight="1">
      <c r="C719" s="1"/>
    </row>
    <row r="720" ht="14.25" customHeight="1">
      <c r="C720" s="1"/>
    </row>
    <row r="721" ht="14.25" customHeight="1">
      <c r="C721" s="1"/>
    </row>
    <row r="722" ht="14.25" customHeight="1">
      <c r="C722" s="1"/>
    </row>
    <row r="723" ht="14.25" customHeight="1">
      <c r="C723" s="1"/>
    </row>
    <row r="724" ht="14.25" customHeight="1">
      <c r="C724" s="1"/>
    </row>
    <row r="725" ht="14.25" customHeight="1">
      <c r="C725" s="1"/>
    </row>
    <row r="726" ht="14.25" customHeight="1">
      <c r="C726" s="1"/>
    </row>
    <row r="727" ht="14.25" customHeight="1">
      <c r="C727" s="1"/>
    </row>
    <row r="728" ht="14.25" customHeight="1">
      <c r="C728" s="1"/>
    </row>
    <row r="729" ht="14.25" customHeight="1">
      <c r="C729" s="1"/>
    </row>
    <row r="730" ht="14.25" customHeight="1">
      <c r="C730" s="1"/>
    </row>
    <row r="731" ht="14.25" customHeight="1">
      <c r="C731" s="1"/>
    </row>
    <row r="732" ht="14.25" customHeight="1">
      <c r="C732" s="1"/>
    </row>
    <row r="733" ht="14.25" customHeight="1">
      <c r="C733" s="1"/>
    </row>
    <row r="734" ht="14.25" customHeight="1">
      <c r="C734" s="1"/>
    </row>
    <row r="735" ht="14.25" customHeight="1">
      <c r="C735" s="1"/>
    </row>
    <row r="736" ht="14.25" customHeight="1">
      <c r="C736" s="1"/>
    </row>
    <row r="737" ht="14.25" customHeight="1">
      <c r="C737" s="1"/>
    </row>
    <row r="738" ht="14.25" customHeight="1">
      <c r="C738" s="1"/>
    </row>
    <row r="739" ht="14.25" customHeight="1">
      <c r="C739" s="1"/>
    </row>
    <row r="740" ht="14.25" customHeight="1">
      <c r="C740" s="1"/>
    </row>
    <row r="741" ht="14.25" customHeight="1">
      <c r="C741" s="1"/>
    </row>
    <row r="742" ht="14.25" customHeight="1">
      <c r="C742" s="1"/>
    </row>
    <row r="743" ht="14.25" customHeight="1">
      <c r="C743" s="1"/>
    </row>
    <row r="744" ht="14.25" customHeight="1">
      <c r="C744" s="1"/>
    </row>
    <row r="745" ht="14.25" customHeight="1">
      <c r="C745" s="1"/>
    </row>
    <row r="746" ht="14.25" customHeight="1">
      <c r="C746" s="1"/>
    </row>
    <row r="747" ht="14.25" customHeight="1">
      <c r="C747" s="1"/>
    </row>
    <row r="748" ht="14.25" customHeight="1">
      <c r="C748" s="1"/>
    </row>
    <row r="749" ht="14.25" customHeight="1">
      <c r="C749" s="1"/>
    </row>
    <row r="750" ht="14.25" customHeight="1">
      <c r="C750" s="1"/>
    </row>
    <row r="751" ht="14.25" customHeight="1">
      <c r="C751" s="1"/>
    </row>
    <row r="752" ht="14.25" customHeight="1">
      <c r="C752" s="1"/>
    </row>
    <row r="753" ht="14.25" customHeight="1">
      <c r="C753" s="1"/>
    </row>
    <row r="754" ht="14.25" customHeight="1">
      <c r="C754" s="1"/>
    </row>
    <row r="755" ht="14.25" customHeight="1">
      <c r="C755" s="1"/>
    </row>
    <row r="756" ht="14.25" customHeight="1">
      <c r="C756" s="1"/>
    </row>
    <row r="757" ht="14.25" customHeight="1">
      <c r="C757" s="1"/>
    </row>
    <row r="758" ht="14.25" customHeight="1">
      <c r="C758" s="1"/>
    </row>
    <row r="759" ht="14.25" customHeight="1">
      <c r="C759" s="1"/>
    </row>
    <row r="760" ht="14.25" customHeight="1">
      <c r="C760" s="1"/>
    </row>
    <row r="761" ht="14.25" customHeight="1">
      <c r="C761" s="1"/>
    </row>
    <row r="762" ht="14.25" customHeight="1">
      <c r="C762" s="1"/>
    </row>
    <row r="763" ht="14.25" customHeight="1">
      <c r="C763" s="1"/>
    </row>
    <row r="764" ht="14.25" customHeight="1">
      <c r="C764" s="1"/>
    </row>
    <row r="765" ht="14.25" customHeight="1">
      <c r="C765" s="1"/>
    </row>
    <row r="766" ht="14.25" customHeight="1">
      <c r="C766" s="1"/>
    </row>
    <row r="767" ht="14.25" customHeight="1">
      <c r="C767" s="1"/>
    </row>
    <row r="768" ht="14.25" customHeight="1">
      <c r="C768" s="1"/>
    </row>
    <row r="769" ht="14.25" customHeight="1">
      <c r="C769" s="1"/>
    </row>
    <row r="770" ht="14.25" customHeight="1">
      <c r="C770" s="1"/>
    </row>
    <row r="771" ht="14.25" customHeight="1">
      <c r="C771" s="1"/>
    </row>
    <row r="772" ht="14.25" customHeight="1">
      <c r="C772" s="1"/>
    </row>
    <row r="773" ht="14.25" customHeight="1">
      <c r="C773" s="1"/>
    </row>
    <row r="774" ht="14.25" customHeight="1">
      <c r="C774" s="1"/>
    </row>
    <row r="775" ht="14.25" customHeight="1">
      <c r="C775" s="1"/>
    </row>
    <row r="776" ht="14.25" customHeight="1">
      <c r="C776" s="1"/>
    </row>
    <row r="777" ht="14.25" customHeight="1">
      <c r="C777" s="1"/>
    </row>
    <row r="778" ht="14.25" customHeight="1">
      <c r="C778" s="1"/>
    </row>
    <row r="779" ht="14.25" customHeight="1">
      <c r="C779" s="1"/>
    </row>
    <row r="780" ht="14.25" customHeight="1">
      <c r="C780" s="1"/>
    </row>
    <row r="781" ht="14.25" customHeight="1">
      <c r="C781" s="1"/>
    </row>
    <row r="782" ht="14.25" customHeight="1">
      <c r="C782" s="1"/>
    </row>
    <row r="783" ht="14.25" customHeight="1">
      <c r="C783" s="1"/>
    </row>
    <row r="784" ht="14.25" customHeight="1">
      <c r="C784" s="1"/>
    </row>
    <row r="785" ht="14.25" customHeight="1">
      <c r="C785" s="1"/>
    </row>
    <row r="786" ht="14.25" customHeight="1">
      <c r="C786" s="1"/>
    </row>
    <row r="787" ht="14.25" customHeight="1">
      <c r="C787" s="1"/>
    </row>
    <row r="788" ht="14.25" customHeight="1">
      <c r="C788" s="1"/>
    </row>
    <row r="789" ht="14.25" customHeight="1">
      <c r="C789" s="1"/>
    </row>
    <row r="790" ht="14.25" customHeight="1">
      <c r="C790" s="1"/>
    </row>
    <row r="791" ht="14.25" customHeight="1">
      <c r="C791" s="1"/>
    </row>
    <row r="792" ht="14.25" customHeight="1">
      <c r="C792" s="1"/>
    </row>
    <row r="793" ht="14.25" customHeight="1">
      <c r="C793" s="1"/>
    </row>
    <row r="794" ht="14.25" customHeight="1">
      <c r="C794" s="1"/>
    </row>
    <row r="795" ht="14.25" customHeight="1">
      <c r="C795" s="1"/>
    </row>
    <row r="796" ht="14.25" customHeight="1">
      <c r="C796" s="1"/>
    </row>
    <row r="797" ht="14.25" customHeight="1">
      <c r="C797" s="1"/>
    </row>
    <row r="798" ht="14.25" customHeight="1">
      <c r="C798" s="1"/>
    </row>
    <row r="799" ht="14.25" customHeight="1">
      <c r="C799" s="1"/>
    </row>
    <row r="800" ht="14.25" customHeight="1">
      <c r="C800" s="1"/>
    </row>
    <row r="801" ht="14.25" customHeight="1">
      <c r="C801" s="1"/>
    </row>
    <row r="802" ht="14.25" customHeight="1">
      <c r="C802" s="1"/>
    </row>
    <row r="803" ht="14.25" customHeight="1">
      <c r="C803" s="1"/>
    </row>
    <row r="804" ht="14.25" customHeight="1">
      <c r="C804" s="1"/>
    </row>
    <row r="805" ht="14.25" customHeight="1">
      <c r="C805" s="1"/>
    </row>
    <row r="806" ht="14.25" customHeight="1">
      <c r="C806" s="1"/>
    </row>
    <row r="807" ht="14.25" customHeight="1">
      <c r="C807" s="1"/>
    </row>
    <row r="808" ht="14.25" customHeight="1">
      <c r="C808" s="1"/>
    </row>
    <row r="809" ht="14.25" customHeight="1">
      <c r="C809" s="1"/>
    </row>
    <row r="810" ht="14.25" customHeight="1">
      <c r="C810" s="1"/>
    </row>
    <row r="811" ht="14.25" customHeight="1">
      <c r="C811" s="1"/>
    </row>
    <row r="812" ht="14.25" customHeight="1">
      <c r="C812" s="1"/>
    </row>
    <row r="813" ht="14.25" customHeight="1">
      <c r="C813" s="1"/>
    </row>
    <row r="814" ht="14.25" customHeight="1">
      <c r="C814" s="1"/>
    </row>
    <row r="815" ht="14.25" customHeight="1">
      <c r="C815" s="1"/>
    </row>
    <row r="816" ht="14.25" customHeight="1">
      <c r="C816" s="1"/>
    </row>
    <row r="817" ht="14.25" customHeight="1">
      <c r="C817" s="1"/>
    </row>
    <row r="818" ht="14.25" customHeight="1">
      <c r="C818" s="1"/>
    </row>
    <row r="819" ht="14.25" customHeight="1">
      <c r="C819" s="1"/>
    </row>
    <row r="820" ht="14.25" customHeight="1">
      <c r="C820" s="1"/>
    </row>
    <row r="821" ht="14.25" customHeight="1">
      <c r="C821" s="1"/>
    </row>
    <row r="822" ht="14.25" customHeight="1">
      <c r="C822" s="1"/>
    </row>
    <row r="823" ht="14.25" customHeight="1">
      <c r="C823" s="1"/>
    </row>
    <row r="824" ht="14.25" customHeight="1">
      <c r="C824" s="1"/>
    </row>
    <row r="825" ht="14.25" customHeight="1">
      <c r="C825" s="1"/>
    </row>
    <row r="826" ht="14.25" customHeight="1">
      <c r="C826" s="1"/>
    </row>
    <row r="827" ht="14.25" customHeight="1">
      <c r="C827" s="1"/>
    </row>
    <row r="828" ht="14.25" customHeight="1">
      <c r="C828" s="1"/>
    </row>
    <row r="829" ht="14.25" customHeight="1">
      <c r="C829" s="1"/>
    </row>
    <row r="830" ht="14.25" customHeight="1">
      <c r="C830" s="1"/>
    </row>
    <row r="831" ht="14.25" customHeight="1">
      <c r="C831" s="1"/>
    </row>
    <row r="832" ht="14.25" customHeight="1">
      <c r="C832" s="1"/>
    </row>
    <row r="833" ht="14.25" customHeight="1">
      <c r="C833" s="1"/>
    </row>
    <row r="834" ht="14.25" customHeight="1">
      <c r="C834" s="1"/>
    </row>
    <row r="835" ht="14.25" customHeight="1">
      <c r="C835" s="1"/>
    </row>
    <row r="836" ht="14.25" customHeight="1">
      <c r="C836" s="1"/>
    </row>
    <row r="837" ht="14.25" customHeight="1">
      <c r="C837" s="1"/>
    </row>
    <row r="838" ht="14.25" customHeight="1">
      <c r="C838" s="1"/>
    </row>
    <row r="839" ht="14.25" customHeight="1">
      <c r="C839" s="1"/>
    </row>
    <row r="840" ht="14.25" customHeight="1">
      <c r="C840" s="1"/>
    </row>
    <row r="841" ht="14.25" customHeight="1">
      <c r="C841" s="1"/>
    </row>
    <row r="842" ht="14.25" customHeight="1">
      <c r="C842" s="1"/>
    </row>
    <row r="843" ht="14.25" customHeight="1">
      <c r="C843" s="1"/>
    </row>
    <row r="844" ht="14.25" customHeight="1">
      <c r="C844" s="1"/>
    </row>
    <row r="845" ht="14.25" customHeight="1">
      <c r="C845" s="1"/>
    </row>
    <row r="846" ht="14.25" customHeight="1">
      <c r="C846" s="1"/>
    </row>
    <row r="847" ht="14.25" customHeight="1">
      <c r="C847" s="1"/>
    </row>
    <row r="848" ht="14.25" customHeight="1">
      <c r="C848" s="1"/>
    </row>
    <row r="849" ht="14.25" customHeight="1">
      <c r="C849" s="1"/>
    </row>
    <row r="850" ht="14.25" customHeight="1">
      <c r="C850" s="1"/>
    </row>
    <row r="851" ht="14.25" customHeight="1">
      <c r="C851" s="1"/>
    </row>
    <row r="852" ht="14.25" customHeight="1">
      <c r="C852" s="1"/>
    </row>
    <row r="853" ht="14.25" customHeight="1">
      <c r="C853" s="1"/>
    </row>
    <row r="854" ht="14.25" customHeight="1">
      <c r="C854" s="1"/>
    </row>
    <row r="855" ht="14.25" customHeight="1">
      <c r="C855" s="1"/>
    </row>
    <row r="856" ht="14.25" customHeight="1">
      <c r="C856" s="1"/>
    </row>
    <row r="857" ht="14.25" customHeight="1">
      <c r="C857" s="1"/>
    </row>
    <row r="858" ht="14.25" customHeight="1">
      <c r="C858" s="1"/>
    </row>
    <row r="859" ht="14.25" customHeight="1">
      <c r="C859" s="1"/>
    </row>
    <row r="860" ht="14.25" customHeight="1">
      <c r="C860" s="1"/>
    </row>
    <row r="861" ht="14.25" customHeight="1">
      <c r="C861" s="1"/>
    </row>
    <row r="862" ht="14.25" customHeight="1">
      <c r="C862" s="1"/>
    </row>
    <row r="863" ht="14.25" customHeight="1">
      <c r="C863" s="1"/>
    </row>
    <row r="864" ht="14.25" customHeight="1">
      <c r="C864" s="1"/>
    </row>
    <row r="865" ht="14.25" customHeight="1">
      <c r="C865" s="1"/>
    </row>
    <row r="866" ht="14.25" customHeight="1">
      <c r="C866" s="1"/>
    </row>
    <row r="867" ht="14.25" customHeight="1">
      <c r="C867" s="1"/>
    </row>
    <row r="868" ht="14.25" customHeight="1">
      <c r="C868" s="1"/>
    </row>
    <row r="869" ht="14.25" customHeight="1">
      <c r="C869" s="1"/>
    </row>
    <row r="870" ht="14.25" customHeight="1">
      <c r="C870" s="1"/>
    </row>
    <row r="871" ht="14.25" customHeight="1">
      <c r="C871" s="1"/>
    </row>
    <row r="872" ht="14.25" customHeight="1">
      <c r="C872" s="1"/>
    </row>
    <row r="873" ht="14.25" customHeight="1">
      <c r="C873" s="1"/>
    </row>
    <row r="874" ht="14.25" customHeight="1">
      <c r="C874" s="1"/>
    </row>
    <row r="875" ht="14.25" customHeight="1">
      <c r="C875" s="1"/>
    </row>
    <row r="876" ht="14.25" customHeight="1">
      <c r="C876" s="1"/>
    </row>
    <row r="877" ht="14.25" customHeight="1">
      <c r="C877" s="1"/>
    </row>
    <row r="878" ht="14.25" customHeight="1">
      <c r="C878" s="1"/>
    </row>
    <row r="879" ht="14.25" customHeight="1">
      <c r="C879" s="1"/>
    </row>
    <row r="880" ht="14.25" customHeight="1">
      <c r="C880" s="1"/>
    </row>
    <row r="881" ht="14.25" customHeight="1">
      <c r="C881" s="1"/>
    </row>
    <row r="882" ht="14.25" customHeight="1">
      <c r="C882" s="1"/>
    </row>
    <row r="883" ht="14.25" customHeight="1">
      <c r="C883" s="1"/>
    </row>
    <row r="884" ht="14.25" customHeight="1">
      <c r="C884" s="1"/>
    </row>
    <row r="885" ht="14.25" customHeight="1">
      <c r="C885" s="1"/>
    </row>
    <row r="886" ht="14.25" customHeight="1">
      <c r="C886" s="1"/>
    </row>
    <row r="887" ht="14.25" customHeight="1">
      <c r="C887" s="1"/>
    </row>
    <row r="888" ht="14.25" customHeight="1">
      <c r="C888" s="1"/>
    </row>
    <row r="889" ht="14.25" customHeight="1">
      <c r="C889" s="1"/>
    </row>
    <row r="890" ht="14.25" customHeight="1">
      <c r="C890" s="1"/>
    </row>
    <row r="891" ht="14.25" customHeight="1">
      <c r="C891" s="1"/>
    </row>
    <row r="892" ht="14.25" customHeight="1">
      <c r="C892" s="1"/>
    </row>
    <row r="893" ht="14.25" customHeight="1">
      <c r="C893" s="1"/>
    </row>
    <row r="894" ht="14.25" customHeight="1">
      <c r="C894" s="1"/>
    </row>
    <row r="895" ht="14.25" customHeight="1">
      <c r="C895" s="1"/>
    </row>
    <row r="896" ht="14.25" customHeight="1">
      <c r="C896" s="1"/>
    </row>
    <row r="897" ht="14.25" customHeight="1">
      <c r="C897" s="1"/>
    </row>
    <row r="898" ht="14.25" customHeight="1">
      <c r="C898" s="1"/>
    </row>
    <row r="899" ht="14.25" customHeight="1">
      <c r="C899" s="1"/>
    </row>
    <row r="900" ht="14.25" customHeight="1">
      <c r="C900" s="1"/>
    </row>
    <row r="901" ht="14.25" customHeight="1">
      <c r="C901" s="1"/>
    </row>
    <row r="902" ht="14.25" customHeight="1">
      <c r="C902" s="1"/>
    </row>
    <row r="903" ht="14.25" customHeight="1">
      <c r="C903" s="1"/>
    </row>
    <row r="904" ht="14.25" customHeight="1">
      <c r="C904" s="1"/>
    </row>
    <row r="905" ht="14.25" customHeight="1">
      <c r="C905" s="1"/>
    </row>
    <row r="906" ht="14.25" customHeight="1">
      <c r="C906" s="1"/>
    </row>
    <row r="907" ht="14.25" customHeight="1">
      <c r="C907" s="1"/>
    </row>
    <row r="908" ht="14.25" customHeight="1">
      <c r="C908" s="1"/>
    </row>
    <row r="909" ht="14.25" customHeight="1">
      <c r="C909" s="1"/>
    </row>
    <row r="910" ht="14.25" customHeight="1">
      <c r="C910" s="1"/>
    </row>
    <row r="911" ht="14.25" customHeight="1">
      <c r="C911" s="1"/>
    </row>
    <row r="912" ht="14.25" customHeight="1">
      <c r="C912" s="1"/>
    </row>
    <row r="913" ht="14.25" customHeight="1">
      <c r="C913" s="1"/>
    </row>
    <row r="914" ht="14.25" customHeight="1">
      <c r="C914" s="1"/>
    </row>
    <row r="915" ht="14.25" customHeight="1">
      <c r="C915" s="1"/>
    </row>
    <row r="916" ht="14.25" customHeight="1">
      <c r="C916" s="1"/>
    </row>
    <row r="917" ht="14.25" customHeight="1">
      <c r="C917" s="1"/>
    </row>
    <row r="918" ht="14.25" customHeight="1">
      <c r="C918" s="1"/>
    </row>
    <row r="919" ht="14.25" customHeight="1">
      <c r="C919" s="1"/>
    </row>
    <row r="920" ht="14.25" customHeight="1">
      <c r="C920" s="1"/>
    </row>
    <row r="921" ht="14.25" customHeight="1">
      <c r="C921" s="1"/>
    </row>
    <row r="922" ht="14.25" customHeight="1">
      <c r="C922" s="1"/>
    </row>
    <row r="923" ht="14.25" customHeight="1">
      <c r="C923" s="1"/>
    </row>
    <row r="924" ht="14.25" customHeight="1">
      <c r="C924" s="1"/>
    </row>
    <row r="925" ht="14.25" customHeight="1">
      <c r="C925" s="1"/>
    </row>
    <row r="926" ht="14.25" customHeight="1">
      <c r="C926" s="1"/>
    </row>
    <row r="927" ht="14.25" customHeight="1">
      <c r="C927" s="1"/>
    </row>
    <row r="928" ht="14.25" customHeight="1">
      <c r="C928" s="1"/>
    </row>
    <row r="929" ht="14.25" customHeight="1">
      <c r="C929" s="1"/>
    </row>
    <row r="930" ht="14.25" customHeight="1">
      <c r="C930" s="1"/>
    </row>
    <row r="931" ht="14.25" customHeight="1">
      <c r="C931" s="1"/>
    </row>
    <row r="932" ht="14.25" customHeight="1">
      <c r="C932" s="1"/>
    </row>
    <row r="933" ht="14.25" customHeight="1">
      <c r="C933" s="1"/>
    </row>
    <row r="934" ht="14.25" customHeight="1">
      <c r="C934" s="1"/>
    </row>
    <row r="935" ht="14.25" customHeight="1">
      <c r="C935" s="1"/>
    </row>
    <row r="936" ht="14.25" customHeight="1">
      <c r="C936" s="1"/>
    </row>
    <row r="937" ht="14.25" customHeight="1">
      <c r="C937" s="1"/>
    </row>
    <row r="938" ht="14.25" customHeight="1">
      <c r="C938" s="1"/>
    </row>
    <row r="939" ht="14.25" customHeight="1">
      <c r="C939" s="1"/>
    </row>
    <row r="940" ht="14.25" customHeight="1">
      <c r="C940" s="1"/>
    </row>
    <row r="941" ht="14.25" customHeight="1">
      <c r="C941" s="1"/>
    </row>
    <row r="942" ht="14.25" customHeight="1">
      <c r="C942" s="1"/>
    </row>
    <row r="943" ht="14.25" customHeight="1">
      <c r="C943" s="1"/>
    </row>
    <row r="944" ht="14.25" customHeight="1">
      <c r="C944" s="1"/>
    </row>
    <row r="945" ht="14.25" customHeight="1">
      <c r="C945" s="1"/>
    </row>
    <row r="946" ht="14.25" customHeight="1">
      <c r="C946" s="1"/>
    </row>
    <row r="947" ht="14.25" customHeight="1">
      <c r="C947" s="1"/>
    </row>
    <row r="948" ht="14.25" customHeight="1">
      <c r="C948" s="1"/>
    </row>
    <row r="949" ht="14.25" customHeight="1">
      <c r="C949" s="1"/>
    </row>
    <row r="950" ht="14.25" customHeight="1">
      <c r="C950" s="1"/>
    </row>
    <row r="951" ht="14.25" customHeight="1">
      <c r="C951" s="1"/>
    </row>
    <row r="952" ht="14.25" customHeight="1">
      <c r="C952" s="1"/>
    </row>
    <row r="953" ht="14.25" customHeight="1">
      <c r="C953" s="1"/>
    </row>
    <row r="954" ht="14.25" customHeight="1">
      <c r="C954" s="1"/>
    </row>
    <row r="955" ht="14.25" customHeight="1">
      <c r="C955" s="1"/>
    </row>
    <row r="956" ht="14.25" customHeight="1">
      <c r="C956" s="1"/>
    </row>
    <row r="957" ht="14.25" customHeight="1">
      <c r="C957" s="1"/>
    </row>
    <row r="958" ht="14.25" customHeight="1">
      <c r="C958" s="1"/>
    </row>
    <row r="959" ht="14.25" customHeight="1">
      <c r="C959" s="1"/>
    </row>
    <row r="960" ht="14.25" customHeight="1">
      <c r="C960" s="1"/>
    </row>
    <row r="961" ht="14.25" customHeight="1">
      <c r="C961" s="1"/>
    </row>
    <row r="962" ht="14.25" customHeight="1">
      <c r="C962" s="1"/>
    </row>
    <row r="963" ht="14.25" customHeight="1">
      <c r="C963" s="1"/>
    </row>
    <row r="964" ht="14.25" customHeight="1">
      <c r="C964" s="1"/>
    </row>
    <row r="965" ht="14.25" customHeight="1">
      <c r="C965" s="1"/>
    </row>
    <row r="966" ht="14.25" customHeight="1">
      <c r="C966" s="1"/>
    </row>
    <row r="967" ht="14.25" customHeight="1">
      <c r="C967" s="1"/>
    </row>
    <row r="968" ht="14.25" customHeight="1">
      <c r="C968" s="1"/>
    </row>
    <row r="969" ht="14.25" customHeight="1">
      <c r="C969" s="1"/>
    </row>
    <row r="970" ht="14.25" customHeight="1">
      <c r="C970" s="1"/>
    </row>
    <row r="971" ht="14.25" customHeight="1">
      <c r="C971" s="1"/>
    </row>
    <row r="972" ht="14.25" customHeight="1">
      <c r="C972" s="1"/>
    </row>
    <row r="973" ht="14.25" customHeight="1">
      <c r="C973" s="1"/>
    </row>
    <row r="974" ht="14.25" customHeight="1">
      <c r="C974" s="1"/>
    </row>
    <row r="975" ht="14.25" customHeight="1">
      <c r="C975" s="1"/>
    </row>
    <row r="976" ht="14.25" customHeight="1">
      <c r="C976" s="1"/>
    </row>
    <row r="977" ht="14.25" customHeight="1">
      <c r="C977" s="1"/>
    </row>
    <row r="978" ht="14.25" customHeight="1">
      <c r="C978" s="1"/>
    </row>
    <row r="979" ht="14.25" customHeight="1">
      <c r="C979" s="1"/>
    </row>
    <row r="980" ht="14.25" customHeight="1">
      <c r="C980" s="1"/>
    </row>
    <row r="981" ht="14.25" customHeight="1">
      <c r="C981" s="1"/>
    </row>
    <row r="982" ht="14.25" customHeight="1">
      <c r="C982" s="1"/>
    </row>
    <row r="983" ht="14.25" customHeight="1">
      <c r="C983" s="1"/>
    </row>
    <row r="984" ht="14.25" customHeight="1">
      <c r="C984" s="1"/>
    </row>
    <row r="985" ht="14.25" customHeight="1">
      <c r="C985" s="1"/>
    </row>
    <row r="986" ht="14.25" customHeight="1">
      <c r="C986" s="1"/>
    </row>
    <row r="987" ht="14.25" customHeight="1">
      <c r="C987" s="1"/>
    </row>
    <row r="988" ht="14.25" customHeight="1">
      <c r="C988" s="1"/>
    </row>
    <row r="989" ht="14.25" customHeight="1">
      <c r="C989" s="1"/>
    </row>
    <row r="990" ht="14.25" customHeight="1">
      <c r="C990" s="1"/>
    </row>
    <row r="991" ht="14.25" customHeight="1">
      <c r="C991" s="1"/>
    </row>
    <row r="992" ht="14.25" customHeight="1">
      <c r="C992" s="1"/>
    </row>
    <row r="993" ht="14.25" customHeight="1">
      <c r="C993" s="1"/>
    </row>
    <row r="994" ht="14.25" customHeight="1">
      <c r="C994" s="1"/>
    </row>
    <row r="995" ht="14.25" customHeight="1">
      <c r="C995" s="1"/>
    </row>
    <row r="996" ht="14.25" customHeight="1">
      <c r="C996" s="1"/>
    </row>
    <row r="997" ht="14.25" customHeight="1">
      <c r="C997" s="1"/>
    </row>
    <row r="998" ht="14.25" customHeight="1">
      <c r="C998" s="1"/>
    </row>
    <row r="999" ht="14.25" customHeight="1">
      <c r="C999" s="1"/>
    </row>
    <row r="1000" ht="14.25" customHeight="1">
      <c r="C1000" s="1"/>
    </row>
  </sheetData>
  <dataValidations>
    <dataValidation type="list" allowBlank="1" showErrorMessage="1" sqref="B12">
      <formula1>$B$67:$B$70</formula1>
    </dataValidation>
    <dataValidation type="list" allowBlank="1" showErrorMessage="1" sqref="B10">
      <formula1>$B$62:$B$65</formula1>
    </dataValidation>
    <dataValidation type="list" allowBlank="1" showErrorMessage="1" sqref="B26">
      <formula1>$B$96:$B$100</formula1>
    </dataValidation>
    <dataValidation type="list" allowBlank="1" showErrorMessage="1" sqref="B28">
      <formula1>$B$102:$B$105</formula1>
    </dataValidation>
    <dataValidation type="list" allowBlank="1" showErrorMessage="1" sqref="B22">
      <formula1>$B$84:$B$88</formula1>
    </dataValidation>
    <dataValidation type="list" allowBlank="1" showErrorMessage="1" sqref="B14">
      <formula1>$B$72:$B$76</formula1>
    </dataValidation>
    <dataValidation type="list" allowBlank="1" showErrorMessage="1" sqref="B24">
      <formula1>$B$90:$B$94</formula1>
    </dataValidation>
    <dataValidation type="list" allowBlank="1" showErrorMessage="1" sqref="B8">
      <formula1>$B$56:$B$60</formula1>
    </dataValidation>
    <dataValidation type="list" allowBlank="1" showErrorMessage="1" sqref="B17">
      <formula1>$B$78:$B$80</formula1>
    </dataValidation>
    <dataValidation type="list" allowBlank="1" showErrorMessage="1" sqref="B30:B31">
      <formula1>$B$107:$B$110</formula1>
    </dataValidation>
    <dataValidation type="list" allowBlank="1" showErrorMessage="1" sqref="B16">
      <formula1>$B$78:$B$81</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70.13"/>
    <col customWidth="1" min="4" max="4" width="14.88"/>
    <col customWidth="1" min="5" max="6" width="10.63"/>
    <col customWidth="1" min="7" max="7" width="16.88"/>
    <col customWidth="1" min="8" max="8" width="14.5"/>
    <col customWidth="1" min="9" max="9" width="9.75"/>
    <col customWidth="1" min="10" max="10" width="10.63"/>
    <col customWidth="1" min="11" max="11" width="55.13"/>
    <col customWidth="1" min="12" max="12" width="13.13"/>
    <col customWidth="1" min="13" max="26" width="10.63"/>
  </cols>
  <sheetData>
    <row r="1" ht="14.25" customHeight="1"/>
    <row r="2" ht="14.25" customHeight="1"/>
    <row r="3" ht="14.25" customHeight="1"/>
    <row r="4" ht="14.25" customHeight="1"/>
    <row r="5" ht="14.25" customHeight="1"/>
    <row r="6" ht="14.25" customHeight="1"/>
    <row r="7" ht="14.25" customHeight="1">
      <c r="C7" s="23" t="s">
        <v>74</v>
      </c>
    </row>
    <row r="8" ht="14.25" customHeight="1"/>
    <row r="9" ht="14.25" customHeight="1">
      <c r="C9" s="24" t="s">
        <v>75</v>
      </c>
      <c r="D9" s="24" t="s">
        <v>76</v>
      </c>
      <c r="E9" s="24" t="s">
        <v>77</v>
      </c>
      <c r="F9" s="24" t="s">
        <v>78</v>
      </c>
      <c r="G9" s="24" t="s">
        <v>79</v>
      </c>
      <c r="H9" s="24" t="s">
        <v>80</v>
      </c>
      <c r="I9" s="7"/>
      <c r="J9" s="7"/>
    </row>
    <row r="10" ht="14.25" customHeight="1">
      <c r="C10" s="25" t="s">
        <v>81</v>
      </c>
      <c r="D10" s="26" t="s">
        <v>82</v>
      </c>
      <c r="E10" s="27">
        <v>0.001</v>
      </c>
      <c r="F10" s="25" t="s">
        <v>83</v>
      </c>
      <c r="G10" s="25" t="s">
        <v>84</v>
      </c>
      <c r="H10" s="25" t="s">
        <v>85</v>
      </c>
    </row>
    <row r="11" ht="14.25" customHeight="1">
      <c r="C11" s="25" t="s">
        <v>86</v>
      </c>
      <c r="D11" s="26" t="s">
        <v>87</v>
      </c>
      <c r="E11" s="27">
        <v>6.0E-4</v>
      </c>
      <c r="F11" s="25" t="s">
        <v>88</v>
      </c>
      <c r="G11" s="25" t="s">
        <v>84</v>
      </c>
      <c r="H11" s="25" t="s">
        <v>85</v>
      </c>
    </row>
    <row r="12" ht="14.25" customHeight="1">
      <c r="C12" s="25" t="s">
        <v>89</v>
      </c>
      <c r="D12" s="26" t="s">
        <v>90</v>
      </c>
      <c r="E12" s="27">
        <v>0.0012</v>
      </c>
      <c r="F12" s="25" t="s">
        <v>83</v>
      </c>
      <c r="G12" s="25" t="s">
        <v>91</v>
      </c>
      <c r="H12" s="25" t="s">
        <v>85</v>
      </c>
    </row>
    <row r="13" ht="14.25" customHeight="1">
      <c r="C13" s="25" t="s">
        <v>92</v>
      </c>
      <c r="D13" s="26" t="s">
        <v>93</v>
      </c>
      <c r="E13" s="27">
        <v>0.001</v>
      </c>
      <c r="F13" s="25" t="s">
        <v>88</v>
      </c>
      <c r="G13" s="25" t="s">
        <v>91</v>
      </c>
      <c r="H13" s="25" t="s">
        <v>85</v>
      </c>
    </row>
    <row r="14" ht="14.25" customHeight="1">
      <c r="C14" s="25" t="s">
        <v>94</v>
      </c>
      <c r="D14" s="26" t="s">
        <v>95</v>
      </c>
      <c r="E14" s="27">
        <v>0.0016</v>
      </c>
      <c r="F14" s="25" t="s">
        <v>83</v>
      </c>
      <c r="G14" s="25" t="s">
        <v>96</v>
      </c>
      <c r="H14" s="25" t="s">
        <v>85</v>
      </c>
      <c r="I14" s="28"/>
      <c r="J14" s="28"/>
    </row>
    <row r="15" ht="14.25" customHeight="1">
      <c r="C15" s="25" t="s">
        <v>97</v>
      </c>
      <c r="D15" s="26" t="s">
        <v>98</v>
      </c>
      <c r="E15" s="27">
        <v>0.001</v>
      </c>
      <c r="F15" s="25" t="s">
        <v>88</v>
      </c>
      <c r="G15" s="25" t="s">
        <v>96</v>
      </c>
      <c r="H15" s="25" t="s">
        <v>85</v>
      </c>
      <c r="I15" s="28"/>
      <c r="J15" s="28"/>
    </row>
    <row r="16" ht="14.25" customHeight="1">
      <c r="C16" s="25" t="s">
        <v>99</v>
      </c>
      <c r="D16" s="26" t="s">
        <v>100</v>
      </c>
      <c r="E16" s="27">
        <v>0.0016</v>
      </c>
      <c r="F16" s="25" t="s">
        <v>83</v>
      </c>
      <c r="G16" s="25" t="s">
        <v>101</v>
      </c>
      <c r="H16" s="25" t="s">
        <v>85</v>
      </c>
    </row>
    <row r="17" ht="14.25" customHeight="1"/>
    <row r="18" ht="14.25" customHeight="1">
      <c r="C18" s="25" t="s">
        <v>102</v>
      </c>
      <c r="D18" s="26" t="s">
        <v>103</v>
      </c>
      <c r="E18" s="27">
        <v>0.002</v>
      </c>
      <c r="F18" s="25" t="s">
        <v>104</v>
      </c>
      <c r="G18" s="25" t="s">
        <v>105</v>
      </c>
      <c r="H18" s="25" t="s">
        <v>85</v>
      </c>
    </row>
    <row r="19" ht="14.25" customHeight="1">
      <c r="C19" s="25" t="s">
        <v>106</v>
      </c>
      <c r="D19" s="26" t="s">
        <v>107</v>
      </c>
      <c r="E19" s="27">
        <v>0.0023</v>
      </c>
      <c r="F19" s="25" t="s">
        <v>83</v>
      </c>
      <c r="G19" s="25" t="s">
        <v>105</v>
      </c>
      <c r="H19" s="25" t="s">
        <v>85</v>
      </c>
    </row>
    <row r="20" ht="14.25" customHeight="1">
      <c r="C20" s="25" t="s">
        <v>108</v>
      </c>
      <c r="D20" s="26" t="s">
        <v>109</v>
      </c>
      <c r="E20" s="27">
        <v>0.0016</v>
      </c>
      <c r="F20" s="25" t="s">
        <v>104</v>
      </c>
      <c r="G20" s="25" t="s">
        <v>105</v>
      </c>
      <c r="H20" s="25" t="s">
        <v>85</v>
      </c>
      <c r="I20" s="25" t="s">
        <v>110</v>
      </c>
    </row>
    <row r="21" ht="14.25" customHeight="1"/>
    <row r="22" ht="14.25" customHeight="1">
      <c r="C22" s="29" t="s">
        <v>111</v>
      </c>
      <c r="D22" s="30" t="s">
        <v>112</v>
      </c>
      <c r="E22" s="31">
        <v>0.003</v>
      </c>
      <c r="F22" s="29" t="s">
        <v>83</v>
      </c>
      <c r="G22" s="29" t="s">
        <v>113</v>
      </c>
      <c r="H22" s="29" t="s">
        <v>85</v>
      </c>
    </row>
    <row r="23" ht="14.25" customHeight="1">
      <c r="C23" s="29" t="s">
        <v>114</v>
      </c>
      <c r="D23" s="30" t="s">
        <v>115</v>
      </c>
      <c r="E23" s="31">
        <v>0.0018</v>
      </c>
      <c r="F23" s="29" t="s">
        <v>83</v>
      </c>
      <c r="G23" s="29" t="s">
        <v>116</v>
      </c>
      <c r="H23" s="29" t="s">
        <v>85</v>
      </c>
    </row>
    <row r="24" ht="14.25" customHeight="1">
      <c r="C24" s="29" t="s">
        <v>117</v>
      </c>
      <c r="D24" s="30" t="s">
        <v>118</v>
      </c>
      <c r="E24" s="31">
        <v>0.0012</v>
      </c>
      <c r="F24" s="29" t="s">
        <v>88</v>
      </c>
      <c r="G24" s="29" t="s">
        <v>116</v>
      </c>
      <c r="H24" s="29" t="s">
        <v>85</v>
      </c>
      <c r="I24" s="29" t="s">
        <v>110</v>
      </c>
    </row>
    <row r="25" ht="14.25" customHeight="1">
      <c r="C25" s="29" t="s">
        <v>119</v>
      </c>
      <c r="D25" s="30" t="s">
        <v>120</v>
      </c>
      <c r="E25" s="31">
        <v>6.0E-4</v>
      </c>
      <c r="F25" s="29" t="s">
        <v>121</v>
      </c>
      <c r="G25" s="29" t="s">
        <v>116</v>
      </c>
      <c r="H25" s="29" t="s">
        <v>85</v>
      </c>
      <c r="I25" s="29" t="s">
        <v>110</v>
      </c>
    </row>
    <row r="26" ht="14.25" customHeight="1">
      <c r="C26" s="29" t="s">
        <v>122</v>
      </c>
      <c r="D26" s="30" t="s">
        <v>123</v>
      </c>
      <c r="E26" s="31">
        <v>0.0015</v>
      </c>
      <c r="F26" s="29" t="s">
        <v>121</v>
      </c>
      <c r="G26" s="29" t="s">
        <v>116</v>
      </c>
      <c r="H26" s="29" t="s">
        <v>85</v>
      </c>
      <c r="I26" s="29" t="s">
        <v>110</v>
      </c>
      <c r="J26" s="32" t="s">
        <v>124</v>
      </c>
    </row>
    <row r="27" ht="14.25" customHeight="1">
      <c r="C27" s="28"/>
    </row>
    <row r="28" ht="14.25" customHeight="1"/>
    <row r="29" ht="14.25" customHeight="1">
      <c r="K29" s="7"/>
      <c r="L29" s="7"/>
      <c r="M29" s="7"/>
    </row>
    <row r="30" ht="14.25" customHeight="1">
      <c r="C30" s="24" t="s">
        <v>75</v>
      </c>
      <c r="D30" s="24" t="s">
        <v>76</v>
      </c>
      <c r="E30" s="24" t="s">
        <v>77</v>
      </c>
      <c r="F30" s="24" t="s">
        <v>78</v>
      </c>
      <c r="G30" s="24" t="s">
        <v>79</v>
      </c>
      <c r="H30" s="24" t="s">
        <v>125</v>
      </c>
      <c r="I30" s="24" t="s">
        <v>126</v>
      </c>
      <c r="J30" s="24" t="s">
        <v>80</v>
      </c>
      <c r="K30" s="33"/>
      <c r="L30" s="33"/>
    </row>
    <row r="31" ht="14.25" customHeight="1">
      <c r="C31" s="34" t="s">
        <v>127</v>
      </c>
      <c r="D31" s="35" t="s">
        <v>128</v>
      </c>
      <c r="E31" s="36">
        <v>0.0016</v>
      </c>
      <c r="F31" s="34" t="s">
        <v>83</v>
      </c>
      <c r="G31" s="34" t="s">
        <v>129</v>
      </c>
      <c r="H31" s="34" t="s">
        <v>130</v>
      </c>
      <c r="I31" s="37">
        <v>19.9</v>
      </c>
      <c r="J31" s="34" t="s">
        <v>131</v>
      </c>
      <c r="K31" s="33"/>
      <c r="L31" s="33"/>
    </row>
    <row r="32" ht="14.25" customHeight="1">
      <c r="C32" s="34" t="s">
        <v>132</v>
      </c>
      <c r="D32" s="35" t="s">
        <v>133</v>
      </c>
      <c r="E32" s="36">
        <v>0.0012</v>
      </c>
      <c r="F32" s="34" t="s">
        <v>83</v>
      </c>
      <c r="G32" s="34" t="s">
        <v>84</v>
      </c>
      <c r="H32" s="34" t="s">
        <v>134</v>
      </c>
      <c r="I32" s="37">
        <v>5.79</v>
      </c>
      <c r="J32" s="34" t="s">
        <v>131</v>
      </c>
      <c r="L32" s="28"/>
    </row>
    <row r="33" ht="14.25" customHeight="1">
      <c r="C33" s="34" t="s">
        <v>135</v>
      </c>
      <c r="D33" s="35" t="s">
        <v>136</v>
      </c>
      <c r="E33" s="36">
        <v>0.0015</v>
      </c>
      <c r="F33" s="34" t="s">
        <v>83</v>
      </c>
      <c r="G33" s="34" t="s">
        <v>137</v>
      </c>
      <c r="H33" s="34" t="s">
        <v>138</v>
      </c>
      <c r="I33" s="34">
        <v>2.69</v>
      </c>
      <c r="J33" s="34" t="s">
        <v>139</v>
      </c>
      <c r="K33" s="33"/>
      <c r="L33" s="33"/>
    </row>
    <row r="34" ht="14.25" customHeight="1">
      <c r="C34" s="34" t="s">
        <v>140</v>
      </c>
      <c r="D34" s="35" t="s">
        <v>141</v>
      </c>
      <c r="E34" s="36">
        <v>0.0012</v>
      </c>
      <c r="F34" s="34" t="s">
        <v>83</v>
      </c>
      <c r="G34" s="34" t="s">
        <v>129</v>
      </c>
      <c r="H34" s="34" t="s">
        <v>142</v>
      </c>
      <c r="I34" s="34">
        <v>7.11</v>
      </c>
      <c r="J34" s="34" t="s">
        <v>131</v>
      </c>
      <c r="K34" s="33"/>
      <c r="L34" s="33"/>
    </row>
    <row r="35" ht="14.25" customHeight="1">
      <c r="C35" s="34" t="s">
        <v>143</v>
      </c>
      <c r="D35" s="35" t="s">
        <v>144</v>
      </c>
      <c r="E35" s="36">
        <v>0.0012</v>
      </c>
      <c r="F35" s="34" t="s">
        <v>83</v>
      </c>
      <c r="G35" s="34" t="s">
        <v>129</v>
      </c>
      <c r="H35" s="34" t="s">
        <v>134</v>
      </c>
      <c r="I35" s="34">
        <v>7.0</v>
      </c>
      <c r="J35" s="34" t="s">
        <v>131</v>
      </c>
      <c r="K35" s="33"/>
    </row>
    <row r="36" ht="14.25" customHeight="1">
      <c r="C36" s="34" t="s">
        <v>145</v>
      </c>
      <c r="D36" s="35" t="s">
        <v>146</v>
      </c>
      <c r="E36" s="36">
        <v>0.0013</v>
      </c>
      <c r="F36" s="34" t="s">
        <v>104</v>
      </c>
      <c r="G36" s="34" t="s">
        <v>129</v>
      </c>
      <c r="H36" s="34" t="s">
        <v>134</v>
      </c>
      <c r="I36" s="34">
        <v>7.58</v>
      </c>
      <c r="J36" s="34" t="s">
        <v>131</v>
      </c>
      <c r="K36" s="33"/>
    </row>
    <row r="37" ht="14.25" customHeight="1">
      <c r="C37" s="34"/>
      <c r="D37" s="34"/>
      <c r="E37" s="36"/>
      <c r="F37" s="34"/>
      <c r="G37" s="34"/>
      <c r="H37" s="34"/>
      <c r="I37" s="34"/>
      <c r="J37" s="34"/>
    </row>
    <row r="38" ht="14.25" customHeight="1">
      <c r="C38" s="38"/>
      <c r="D38" s="39"/>
      <c r="E38" s="33"/>
    </row>
    <row r="39" ht="14.25" customHeight="1">
      <c r="C39" s="40" t="s">
        <v>147</v>
      </c>
      <c r="D39" s="41" t="s">
        <v>148</v>
      </c>
      <c r="E39" s="40">
        <v>0.0012</v>
      </c>
      <c r="F39" s="40" t="s">
        <v>104</v>
      </c>
      <c r="G39" s="42" t="s">
        <v>137</v>
      </c>
      <c r="H39" s="40" t="s">
        <v>138</v>
      </c>
      <c r="I39" s="40">
        <v>4.42</v>
      </c>
      <c r="J39" s="40" t="s">
        <v>149</v>
      </c>
    </row>
    <row r="40" ht="14.25" customHeight="1">
      <c r="C40" s="40" t="s">
        <v>150</v>
      </c>
      <c r="D40" s="43" t="s">
        <v>151</v>
      </c>
      <c r="E40" s="44">
        <v>0.0018</v>
      </c>
      <c r="F40" s="40" t="s">
        <v>83</v>
      </c>
      <c r="G40" s="40" t="s">
        <v>137</v>
      </c>
      <c r="H40" s="40" t="s">
        <v>134</v>
      </c>
      <c r="I40" s="40">
        <v>6.0</v>
      </c>
      <c r="J40" s="40" t="s">
        <v>149</v>
      </c>
    </row>
    <row r="41" ht="14.25" customHeight="1">
      <c r="C41" s="40" t="s">
        <v>152</v>
      </c>
      <c r="D41" s="43" t="s">
        <v>153</v>
      </c>
      <c r="E41" s="44">
        <v>0.0061</v>
      </c>
      <c r="F41" s="40" t="s">
        <v>83</v>
      </c>
      <c r="G41" s="40" t="s">
        <v>105</v>
      </c>
      <c r="H41" s="40" t="s">
        <v>134</v>
      </c>
      <c r="I41" s="42">
        <v>6.0</v>
      </c>
      <c r="J41" s="40" t="s">
        <v>154</v>
      </c>
    </row>
    <row r="42" ht="14.25" customHeight="1">
      <c r="C42" s="40" t="s">
        <v>155</v>
      </c>
      <c r="D42" s="43" t="s">
        <v>156</v>
      </c>
      <c r="E42" s="44">
        <v>0.0052</v>
      </c>
      <c r="F42" s="40" t="s">
        <v>104</v>
      </c>
      <c r="G42" s="40" t="s">
        <v>105</v>
      </c>
      <c r="H42" s="40" t="s">
        <v>134</v>
      </c>
      <c r="I42" s="40">
        <v>6.66</v>
      </c>
      <c r="J42" s="40" t="s">
        <v>154</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hyperlinks>
    <hyperlink r:id="rId1" ref="D10"/>
    <hyperlink r:id="rId2" ref="D11"/>
    <hyperlink r:id="rId3" ref="D12"/>
    <hyperlink r:id="rId4" ref="D13"/>
    <hyperlink r:id="rId5" ref="D14"/>
    <hyperlink r:id="rId6" ref="D15"/>
    <hyperlink r:id="rId7" ref="D16"/>
    <hyperlink r:id="rId8" ref="D18"/>
    <hyperlink r:id="rId9" ref="D19"/>
    <hyperlink r:id="rId10" ref="D20"/>
    <hyperlink r:id="rId11" ref="D22"/>
    <hyperlink r:id="rId12" ref="D23"/>
    <hyperlink r:id="rId13" ref="D24"/>
    <hyperlink r:id="rId14" ref="D25"/>
    <hyperlink r:id="rId15" ref="D26"/>
    <hyperlink r:id="rId16" ref="D31"/>
    <hyperlink r:id="rId17" ref="D32"/>
    <hyperlink r:id="rId18" ref="D33"/>
    <hyperlink r:id="rId19" ref="D34"/>
    <hyperlink r:id="rId20" ref="D35"/>
    <hyperlink r:id="rId21" ref="D36"/>
    <hyperlink r:id="rId22" ref="D39"/>
    <hyperlink r:id="rId23" ref="D40"/>
    <hyperlink r:id="rId24" ref="D41"/>
    <hyperlink r:id="rId25" ref="D42"/>
  </hyperlinks>
  <printOptions/>
  <pageMargins bottom="0.75" footer="0.0" header="0.0" left="0.7" right="0.7" top="0.75"/>
  <pageSetup paperSize="9" orientation="portrait"/>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0"/>
    <col customWidth="1" min="3" max="3" width="72.5"/>
    <col customWidth="1" min="4" max="4" width="13.5"/>
    <col customWidth="1" min="5" max="5" width="10.63"/>
    <col customWidth="1" min="6" max="6" width="12.0"/>
    <col customWidth="1" min="7" max="7" width="18.5"/>
    <col customWidth="1" min="8" max="8" width="12.5"/>
    <col customWidth="1" min="9" max="26" width="10.63"/>
  </cols>
  <sheetData>
    <row r="1" ht="14.25" customHeight="1"/>
    <row r="2" ht="14.25" customHeight="1"/>
    <row r="3" ht="14.25" customHeight="1"/>
    <row r="4" ht="14.25" customHeight="1"/>
    <row r="5" ht="14.25" customHeight="1"/>
    <row r="6" ht="14.25" customHeight="1">
      <c r="C6" s="23" t="s">
        <v>157</v>
      </c>
    </row>
    <row r="7" ht="14.25" customHeight="1"/>
    <row r="8" ht="14.25" customHeight="1">
      <c r="B8" s="24" t="s">
        <v>158</v>
      </c>
      <c r="C8" s="24" t="s">
        <v>75</v>
      </c>
      <c r="D8" s="24" t="s">
        <v>76</v>
      </c>
      <c r="E8" s="24" t="s">
        <v>77</v>
      </c>
      <c r="F8" s="24" t="s">
        <v>78</v>
      </c>
      <c r="G8" s="24" t="s">
        <v>79</v>
      </c>
      <c r="H8" s="24" t="s">
        <v>80</v>
      </c>
    </row>
    <row r="9" ht="14.25" customHeight="1">
      <c r="A9" s="45" t="s">
        <v>159</v>
      </c>
      <c r="B9" s="25" t="s">
        <v>160</v>
      </c>
      <c r="C9" s="25" t="s">
        <v>161</v>
      </c>
      <c r="D9" s="26" t="s">
        <v>162</v>
      </c>
      <c r="E9" s="27">
        <v>7.0E-4</v>
      </c>
      <c r="F9" s="25" t="s">
        <v>83</v>
      </c>
      <c r="G9" s="25" t="s">
        <v>84</v>
      </c>
      <c r="H9" s="25" t="s">
        <v>85</v>
      </c>
    </row>
    <row r="10" ht="14.25" customHeight="1">
      <c r="B10" s="25" t="s">
        <v>163</v>
      </c>
      <c r="C10" s="25" t="s">
        <v>164</v>
      </c>
      <c r="D10" s="26" t="s">
        <v>165</v>
      </c>
      <c r="E10" s="27">
        <v>0.0012</v>
      </c>
      <c r="F10" s="25" t="s">
        <v>104</v>
      </c>
      <c r="G10" s="25" t="s">
        <v>91</v>
      </c>
      <c r="H10" s="25" t="s">
        <v>85</v>
      </c>
      <c r="I10" s="25" t="s">
        <v>110</v>
      </c>
    </row>
    <row r="11" ht="14.25" customHeight="1">
      <c r="B11" s="25" t="s">
        <v>166</v>
      </c>
      <c r="C11" s="46" t="s">
        <v>167</v>
      </c>
      <c r="D11" s="26" t="s">
        <v>168</v>
      </c>
      <c r="E11" s="27">
        <v>0.0015</v>
      </c>
      <c r="F11" s="25" t="s">
        <v>83</v>
      </c>
      <c r="G11" s="25" t="s">
        <v>96</v>
      </c>
      <c r="H11" s="25" t="s">
        <v>85</v>
      </c>
    </row>
    <row r="12" ht="14.25" customHeight="1">
      <c r="B12" s="25" t="s">
        <v>169</v>
      </c>
      <c r="C12" s="25" t="s">
        <v>170</v>
      </c>
      <c r="D12" s="26" t="s">
        <v>171</v>
      </c>
      <c r="E12" s="27">
        <v>0.002</v>
      </c>
      <c r="F12" s="25" t="s">
        <v>104</v>
      </c>
      <c r="G12" s="25" t="s">
        <v>101</v>
      </c>
      <c r="H12" s="25" t="s">
        <v>85</v>
      </c>
      <c r="I12" s="25" t="s">
        <v>110</v>
      </c>
    </row>
    <row r="13" ht="14.25" customHeight="1">
      <c r="B13" s="25" t="s">
        <v>172</v>
      </c>
      <c r="C13" s="25" t="s">
        <v>173</v>
      </c>
      <c r="D13" s="26" t="s">
        <v>174</v>
      </c>
      <c r="E13" s="27">
        <v>0.0023</v>
      </c>
      <c r="F13" s="25" t="s">
        <v>104</v>
      </c>
      <c r="G13" s="25" t="s">
        <v>105</v>
      </c>
      <c r="H13" s="25" t="s">
        <v>85</v>
      </c>
      <c r="I13" s="25" t="s">
        <v>110</v>
      </c>
    </row>
    <row r="14" ht="14.25" customHeight="1">
      <c r="B14" s="25" t="s">
        <v>175</v>
      </c>
      <c r="C14" s="25" t="s">
        <v>176</v>
      </c>
      <c r="D14" s="26" t="s">
        <v>177</v>
      </c>
      <c r="E14" s="27">
        <v>0.0045</v>
      </c>
      <c r="F14" s="25" t="s">
        <v>178</v>
      </c>
      <c r="G14" s="25" t="s">
        <v>113</v>
      </c>
      <c r="H14" s="25" t="s">
        <v>85</v>
      </c>
      <c r="I14" s="25" t="s">
        <v>110</v>
      </c>
    </row>
    <row r="15" ht="14.25" customHeight="1">
      <c r="E15" s="33"/>
    </row>
    <row r="16" ht="14.25" customHeight="1">
      <c r="A16" s="47" t="s">
        <v>137</v>
      </c>
      <c r="B16" s="48" t="s">
        <v>179</v>
      </c>
      <c r="C16" s="48" t="s">
        <v>180</v>
      </c>
      <c r="D16" s="49" t="s">
        <v>181</v>
      </c>
      <c r="E16" s="50">
        <v>0.002</v>
      </c>
      <c r="F16" s="48" t="s">
        <v>104</v>
      </c>
      <c r="G16" s="48" t="s">
        <v>116</v>
      </c>
      <c r="H16" s="48" t="s">
        <v>85</v>
      </c>
      <c r="I16" s="48" t="s">
        <v>110</v>
      </c>
    </row>
    <row r="17" ht="14.25" customHeight="1">
      <c r="B17" s="48" t="s">
        <v>182</v>
      </c>
      <c r="C17" s="48" t="s">
        <v>183</v>
      </c>
      <c r="D17" s="49" t="s">
        <v>184</v>
      </c>
      <c r="E17" s="50">
        <v>0.0012</v>
      </c>
      <c r="F17" s="48" t="s">
        <v>178</v>
      </c>
      <c r="G17" s="48" t="s">
        <v>116</v>
      </c>
      <c r="H17" s="48" t="s">
        <v>85</v>
      </c>
    </row>
    <row r="18" ht="14.25" customHeight="1">
      <c r="B18" s="48" t="s">
        <v>185</v>
      </c>
      <c r="C18" s="32" t="s">
        <v>186</v>
      </c>
      <c r="D18" s="49" t="s">
        <v>187</v>
      </c>
      <c r="E18" s="50">
        <v>0.0012</v>
      </c>
      <c r="F18" s="48" t="s">
        <v>178</v>
      </c>
      <c r="G18" s="48" t="s">
        <v>188</v>
      </c>
      <c r="H18" s="48" t="s">
        <v>85</v>
      </c>
    </row>
    <row r="19" ht="14.25" customHeight="1">
      <c r="B19" s="48" t="s">
        <v>189</v>
      </c>
      <c r="C19" s="51" t="s">
        <v>190</v>
      </c>
      <c r="D19" s="49" t="s">
        <v>191</v>
      </c>
      <c r="E19" s="50">
        <v>0.002</v>
      </c>
      <c r="F19" s="48" t="s">
        <v>104</v>
      </c>
      <c r="G19" s="48" t="s">
        <v>188</v>
      </c>
      <c r="H19" s="48" t="s">
        <v>85</v>
      </c>
      <c r="I19" s="48" t="s">
        <v>110</v>
      </c>
    </row>
    <row r="20" ht="14.25" customHeight="1">
      <c r="C20" s="28"/>
      <c r="E20" s="33"/>
    </row>
    <row r="21" ht="14.25" customHeight="1">
      <c r="C21" s="28"/>
      <c r="E21" s="33"/>
    </row>
    <row r="22" ht="14.25" customHeight="1">
      <c r="A22" s="47" t="s">
        <v>192</v>
      </c>
      <c r="B22" s="52" t="s">
        <v>193</v>
      </c>
      <c r="C22" s="53" t="s">
        <v>194</v>
      </c>
      <c r="D22" s="54" t="s">
        <v>195</v>
      </c>
      <c r="E22" s="55">
        <v>0.0025</v>
      </c>
      <c r="F22" s="52" t="s">
        <v>196</v>
      </c>
      <c r="G22" s="52" t="s">
        <v>197</v>
      </c>
      <c r="H22" s="52" t="s">
        <v>85</v>
      </c>
      <c r="I22" s="52" t="s">
        <v>110</v>
      </c>
    </row>
    <row r="23" ht="14.25" customHeight="1">
      <c r="B23" s="56" t="s">
        <v>198</v>
      </c>
      <c r="C23" s="57" t="s">
        <v>199</v>
      </c>
      <c r="D23" s="58" t="s">
        <v>200</v>
      </c>
      <c r="E23" s="59">
        <v>0.0025</v>
      </c>
      <c r="F23" s="56" t="s">
        <v>196</v>
      </c>
      <c r="G23" s="56" t="s">
        <v>201</v>
      </c>
      <c r="H23" s="56" t="s">
        <v>85</v>
      </c>
      <c r="I23" s="56" t="s">
        <v>110</v>
      </c>
    </row>
    <row r="24" ht="14.25" customHeight="1">
      <c r="B24" s="56" t="s">
        <v>202</v>
      </c>
      <c r="C24" s="57" t="s">
        <v>203</v>
      </c>
      <c r="D24" s="58" t="s">
        <v>204</v>
      </c>
      <c r="E24" s="59">
        <v>0.003</v>
      </c>
      <c r="F24" s="56" t="s">
        <v>205</v>
      </c>
      <c r="G24" s="56" t="s">
        <v>201</v>
      </c>
      <c r="H24" s="56" t="s">
        <v>85</v>
      </c>
      <c r="I24" s="56" t="s">
        <v>110</v>
      </c>
    </row>
    <row r="25" ht="14.25" customHeight="1">
      <c r="B25" s="52" t="s">
        <v>206</v>
      </c>
      <c r="C25" s="53" t="s">
        <v>207</v>
      </c>
      <c r="D25" s="54" t="s">
        <v>208</v>
      </c>
      <c r="E25" s="55">
        <v>0.0025</v>
      </c>
      <c r="F25" s="52" t="s">
        <v>196</v>
      </c>
      <c r="G25" s="52" t="s">
        <v>209</v>
      </c>
      <c r="H25" s="52" t="s">
        <v>85</v>
      </c>
      <c r="I25" s="52" t="s">
        <v>110</v>
      </c>
    </row>
    <row r="26" ht="14.25" customHeight="1">
      <c r="B26" s="56" t="s">
        <v>210</v>
      </c>
      <c r="C26" s="57" t="s">
        <v>211</v>
      </c>
      <c r="D26" s="58" t="s">
        <v>212</v>
      </c>
      <c r="E26" s="59">
        <v>0.0025</v>
      </c>
      <c r="F26" s="56" t="s">
        <v>196</v>
      </c>
      <c r="G26" s="56" t="s">
        <v>213</v>
      </c>
      <c r="H26" s="56" t="s">
        <v>85</v>
      </c>
      <c r="I26" s="56" t="s">
        <v>110</v>
      </c>
    </row>
    <row r="27" ht="14.25" customHeight="1">
      <c r="B27" s="52" t="s">
        <v>214</v>
      </c>
      <c r="C27" s="53" t="s">
        <v>215</v>
      </c>
      <c r="D27" s="54" t="s">
        <v>216</v>
      </c>
      <c r="E27" s="55">
        <v>0.0024</v>
      </c>
      <c r="F27" s="52" t="s">
        <v>217</v>
      </c>
      <c r="G27" s="52" t="s">
        <v>218</v>
      </c>
      <c r="H27" s="52" t="s">
        <v>85</v>
      </c>
      <c r="I27" s="52" t="s">
        <v>110</v>
      </c>
    </row>
    <row r="28" ht="14.25" customHeight="1">
      <c r="B28" s="56" t="s">
        <v>219</v>
      </c>
      <c r="C28" s="57" t="s">
        <v>220</v>
      </c>
      <c r="D28" s="58" t="s">
        <v>221</v>
      </c>
      <c r="E28" s="59">
        <v>0.0025</v>
      </c>
      <c r="F28" s="56" t="s">
        <v>196</v>
      </c>
      <c r="G28" s="56" t="s">
        <v>222</v>
      </c>
      <c r="H28" s="56" t="s">
        <v>85</v>
      </c>
      <c r="I28" s="56" t="s">
        <v>110</v>
      </c>
    </row>
    <row r="29" ht="14.25" customHeight="1">
      <c r="B29" s="53" t="s">
        <v>223</v>
      </c>
      <c r="C29" s="53" t="s">
        <v>224</v>
      </c>
      <c r="D29" s="54" t="s">
        <v>225</v>
      </c>
      <c r="E29" s="55">
        <v>0.0024</v>
      </c>
      <c r="F29" s="53" t="s">
        <v>226</v>
      </c>
      <c r="G29" s="52" t="s">
        <v>218</v>
      </c>
      <c r="H29" s="56" t="s">
        <v>85</v>
      </c>
    </row>
    <row r="30" ht="14.25" customHeight="1">
      <c r="C30" s="28"/>
    </row>
    <row r="31" ht="14.25" customHeight="1"/>
    <row r="32" ht="14.25" customHeight="1"/>
    <row r="33" ht="14.25" customHeight="1">
      <c r="B33" s="24" t="s">
        <v>158</v>
      </c>
      <c r="C33" s="24" t="s">
        <v>75</v>
      </c>
      <c r="D33" s="24" t="s">
        <v>76</v>
      </c>
      <c r="E33" s="24" t="s">
        <v>77</v>
      </c>
      <c r="F33" s="24" t="s">
        <v>78</v>
      </c>
      <c r="G33" s="24" t="s">
        <v>79</v>
      </c>
      <c r="H33" s="24" t="s">
        <v>125</v>
      </c>
      <c r="I33" s="24" t="s">
        <v>126</v>
      </c>
      <c r="J33" s="24" t="s">
        <v>80</v>
      </c>
    </row>
    <row r="34" ht="14.25" customHeight="1">
      <c r="A34" s="47" t="s">
        <v>227</v>
      </c>
      <c r="B34" s="60" t="s">
        <v>228</v>
      </c>
      <c r="C34" s="60" t="s">
        <v>229</v>
      </c>
      <c r="D34" s="61" t="s">
        <v>230</v>
      </c>
      <c r="E34" s="62">
        <v>0.0025</v>
      </c>
      <c r="F34" s="60" t="s">
        <v>196</v>
      </c>
      <c r="G34" s="60" t="s">
        <v>137</v>
      </c>
      <c r="H34" s="60" t="s">
        <v>231</v>
      </c>
      <c r="I34" s="63">
        <v>6.84</v>
      </c>
      <c r="J34" s="60" t="s">
        <v>232</v>
      </c>
      <c r="K34" s="60" t="s">
        <v>110</v>
      </c>
    </row>
    <row r="35" ht="14.25" customHeight="1">
      <c r="B35" s="60" t="s">
        <v>233</v>
      </c>
      <c r="C35" s="60" t="s">
        <v>234</v>
      </c>
      <c r="D35" s="61" t="s">
        <v>235</v>
      </c>
      <c r="E35" s="62">
        <v>7.0E-4</v>
      </c>
      <c r="F35" s="60" t="s">
        <v>217</v>
      </c>
      <c r="G35" s="60" t="s">
        <v>129</v>
      </c>
      <c r="H35" s="60" t="s">
        <v>130</v>
      </c>
      <c r="I35" s="60">
        <v>22.0</v>
      </c>
      <c r="J35" s="60" t="s">
        <v>232</v>
      </c>
    </row>
    <row r="36" ht="14.25" customHeight="1">
      <c r="B36" s="60" t="s">
        <v>236</v>
      </c>
      <c r="C36" s="60" t="s">
        <v>237</v>
      </c>
      <c r="D36" s="61" t="s">
        <v>238</v>
      </c>
      <c r="E36" s="62">
        <v>0.0015</v>
      </c>
      <c r="F36" s="60" t="s">
        <v>217</v>
      </c>
      <c r="G36" s="60" t="s">
        <v>129</v>
      </c>
      <c r="H36" s="60" t="s">
        <v>130</v>
      </c>
      <c r="I36" s="63">
        <v>10.25</v>
      </c>
      <c r="J36" s="60" t="s">
        <v>232</v>
      </c>
      <c r="K36" s="60" t="s">
        <v>110</v>
      </c>
    </row>
    <row r="37" ht="14.25" customHeight="1">
      <c r="B37" s="60" t="s">
        <v>239</v>
      </c>
      <c r="C37" s="60" t="s">
        <v>240</v>
      </c>
      <c r="D37" s="61" t="s">
        <v>241</v>
      </c>
      <c r="E37" s="62">
        <v>0.0015</v>
      </c>
      <c r="F37" s="60" t="s">
        <v>217</v>
      </c>
      <c r="G37" s="60" t="s">
        <v>129</v>
      </c>
      <c r="H37" s="60" t="s">
        <v>134</v>
      </c>
      <c r="I37" s="60">
        <v>7.31</v>
      </c>
      <c r="J37" s="60" t="s">
        <v>232</v>
      </c>
      <c r="K37" s="60" t="s">
        <v>110</v>
      </c>
    </row>
    <row r="38" ht="14.25" customHeight="1">
      <c r="B38" s="60" t="s">
        <v>242</v>
      </c>
      <c r="C38" s="60" t="s">
        <v>243</v>
      </c>
      <c r="D38" s="61" t="s">
        <v>244</v>
      </c>
      <c r="E38" s="62">
        <v>0.0015</v>
      </c>
      <c r="F38" s="60" t="s">
        <v>196</v>
      </c>
      <c r="G38" s="60" t="s">
        <v>129</v>
      </c>
      <c r="H38" s="60" t="s">
        <v>134</v>
      </c>
      <c r="I38" s="60">
        <v>5.6</v>
      </c>
      <c r="J38" s="60" t="s">
        <v>232</v>
      </c>
      <c r="K38" s="60" t="s">
        <v>110</v>
      </c>
    </row>
    <row r="39" ht="14.25" customHeight="1">
      <c r="B39" s="60" t="s">
        <v>245</v>
      </c>
      <c r="C39" s="60" t="s">
        <v>246</v>
      </c>
      <c r="D39" s="61" t="s">
        <v>247</v>
      </c>
      <c r="E39" s="62">
        <v>0.0015</v>
      </c>
      <c r="F39" s="60" t="s">
        <v>104</v>
      </c>
      <c r="G39" s="60" t="s">
        <v>129</v>
      </c>
      <c r="H39" s="60" t="s">
        <v>134</v>
      </c>
      <c r="I39" s="63">
        <v>4.44</v>
      </c>
      <c r="J39" s="60" t="s">
        <v>232</v>
      </c>
      <c r="K39" s="60" t="s">
        <v>110</v>
      </c>
    </row>
    <row r="40" ht="14.25" customHeight="1">
      <c r="B40" s="60" t="s">
        <v>248</v>
      </c>
      <c r="C40" s="60" t="s">
        <v>249</v>
      </c>
      <c r="D40" s="61" t="s">
        <v>250</v>
      </c>
      <c r="E40" s="62">
        <v>0.0015</v>
      </c>
      <c r="F40" s="60" t="s">
        <v>217</v>
      </c>
      <c r="G40" s="60" t="s">
        <v>129</v>
      </c>
      <c r="H40" s="60" t="s">
        <v>138</v>
      </c>
      <c r="I40" s="60">
        <v>3.73</v>
      </c>
      <c r="J40" s="60" t="s">
        <v>232</v>
      </c>
      <c r="K40" s="60" t="s">
        <v>110</v>
      </c>
    </row>
    <row r="41" ht="14.25" customHeight="1">
      <c r="B41" s="60" t="s">
        <v>251</v>
      </c>
      <c r="C41" s="60" t="s">
        <v>252</v>
      </c>
      <c r="D41" s="61" t="s">
        <v>253</v>
      </c>
      <c r="E41" s="62">
        <v>0.0015</v>
      </c>
      <c r="F41" s="60" t="s">
        <v>217</v>
      </c>
      <c r="G41" s="60" t="s">
        <v>129</v>
      </c>
      <c r="H41" s="60" t="s">
        <v>138</v>
      </c>
      <c r="I41" s="60">
        <v>1.31</v>
      </c>
      <c r="J41" s="60" t="s">
        <v>232</v>
      </c>
      <c r="K41" s="60" t="s">
        <v>110</v>
      </c>
    </row>
    <row r="42" ht="14.25" customHeight="1">
      <c r="B42" s="60" t="s">
        <v>254</v>
      </c>
      <c r="C42" s="60" t="s">
        <v>255</v>
      </c>
      <c r="D42" s="61" t="s">
        <v>256</v>
      </c>
      <c r="E42" s="62">
        <v>6.0E-4</v>
      </c>
      <c r="F42" s="60" t="s">
        <v>217</v>
      </c>
      <c r="G42" s="60" t="s">
        <v>84</v>
      </c>
      <c r="H42" s="60" t="s">
        <v>134</v>
      </c>
      <c r="I42" s="60">
        <v>7.24</v>
      </c>
      <c r="J42" s="60" t="s">
        <v>232</v>
      </c>
    </row>
    <row r="43" ht="14.25" customHeight="1">
      <c r="B43" s="60" t="s">
        <v>257</v>
      </c>
      <c r="C43" s="60" t="s">
        <v>258</v>
      </c>
      <c r="D43" s="61" t="s">
        <v>259</v>
      </c>
      <c r="E43" s="62">
        <v>0.001</v>
      </c>
      <c r="F43" s="60" t="s">
        <v>104</v>
      </c>
      <c r="G43" s="60" t="s">
        <v>84</v>
      </c>
      <c r="H43" s="60" t="s">
        <v>138</v>
      </c>
      <c r="I43" s="60">
        <v>1.88</v>
      </c>
      <c r="J43" s="60" t="s">
        <v>232</v>
      </c>
      <c r="K43" s="60" t="s">
        <v>110</v>
      </c>
    </row>
    <row r="44" ht="14.25" customHeight="1">
      <c r="B44" s="60" t="s">
        <v>260</v>
      </c>
      <c r="C44" s="60" t="s">
        <v>261</v>
      </c>
      <c r="D44" s="61" t="s">
        <v>262</v>
      </c>
      <c r="E44" s="62">
        <v>0.0012</v>
      </c>
      <c r="F44" s="60" t="s">
        <v>83</v>
      </c>
      <c r="G44" s="60" t="s">
        <v>84</v>
      </c>
      <c r="H44" s="60" t="s">
        <v>139</v>
      </c>
      <c r="I44" s="60">
        <v>6.01</v>
      </c>
      <c r="J44" s="60" t="s">
        <v>232</v>
      </c>
      <c r="K44" s="60" t="s">
        <v>110</v>
      </c>
    </row>
    <row r="45" ht="14.25" customHeight="1"/>
    <row r="46" ht="14.25" customHeight="1">
      <c r="A46" s="47" t="s">
        <v>263</v>
      </c>
      <c r="B46" s="34" t="s">
        <v>264</v>
      </c>
      <c r="C46" s="34" t="s">
        <v>265</v>
      </c>
      <c r="D46" s="35" t="s">
        <v>266</v>
      </c>
      <c r="E46" s="36">
        <v>9.0E-4</v>
      </c>
      <c r="F46" s="34" t="s">
        <v>83</v>
      </c>
      <c r="G46" s="34" t="s">
        <v>137</v>
      </c>
      <c r="H46" s="34" t="s">
        <v>139</v>
      </c>
      <c r="I46" s="34">
        <v>4.48</v>
      </c>
      <c r="J46" s="34" t="s">
        <v>149</v>
      </c>
      <c r="K46" s="60" t="s">
        <v>110</v>
      </c>
    </row>
    <row r="47" ht="14.25" customHeight="1">
      <c r="B47" s="34" t="s">
        <v>267</v>
      </c>
      <c r="C47" s="34" t="s">
        <v>268</v>
      </c>
      <c r="D47" s="35" t="s">
        <v>269</v>
      </c>
      <c r="E47" s="36">
        <v>0.0012</v>
      </c>
      <c r="F47" s="34" t="s">
        <v>196</v>
      </c>
      <c r="G47" s="34" t="s">
        <v>129</v>
      </c>
      <c r="H47" s="34" t="s">
        <v>139</v>
      </c>
      <c r="I47" s="34">
        <v>4.51</v>
      </c>
      <c r="J47" s="34" t="s">
        <v>149</v>
      </c>
      <c r="K47" s="60" t="s">
        <v>110</v>
      </c>
    </row>
    <row r="48" ht="14.25" customHeight="1">
      <c r="B48" s="34" t="s">
        <v>270</v>
      </c>
      <c r="C48" s="34" t="s">
        <v>271</v>
      </c>
      <c r="D48" s="35" t="s">
        <v>272</v>
      </c>
      <c r="E48" s="36">
        <v>0.0016</v>
      </c>
      <c r="F48" s="34" t="s">
        <v>196</v>
      </c>
      <c r="G48" s="34" t="s">
        <v>129</v>
      </c>
      <c r="H48" s="34" t="s">
        <v>138</v>
      </c>
      <c r="I48" s="34">
        <v>2.38</v>
      </c>
      <c r="J48" s="34" t="s">
        <v>149</v>
      </c>
      <c r="K48" s="60" t="s">
        <v>110</v>
      </c>
    </row>
    <row r="49" ht="14.25" customHeight="1">
      <c r="B49" s="34" t="s">
        <v>273</v>
      </c>
      <c r="C49" s="34" t="s">
        <v>274</v>
      </c>
      <c r="D49" s="35" t="s">
        <v>275</v>
      </c>
      <c r="E49" s="36">
        <v>0.0014</v>
      </c>
      <c r="F49" s="34" t="s">
        <v>217</v>
      </c>
      <c r="G49" s="34" t="s">
        <v>129</v>
      </c>
      <c r="H49" s="34" t="s">
        <v>139</v>
      </c>
      <c r="I49" s="34">
        <v>4.44</v>
      </c>
      <c r="J49" s="34" t="s">
        <v>149</v>
      </c>
      <c r="K49" s="60" t="s">
        <v>110</v>
      </c>
    </row>
    <row r="50" ht="14.25" customHeight="1">
      <c r="B50" s="34" t="s">
        <v>276</v>
      </c>
      <c r="C50" s="34" t="s">
        <v>277</v>
      </c>
      <c r="D50" s="35" t="s">
        <v>278</v>
      </c>
      <c r="E50" s="36">
        <v>0.0019</v>
      </c>
      <c r="F50" s="34" t="s">
        <v>279</v>
      </c>
      <c r="G50" s="34" t="s">
        <v>84</v>
      </c>
      <c r="H50" s="34" t="s">
        <v>138</v>
      </c>
      <c r="I50" s="34">
        <v>3.3</v>
      </c>
      <c r="J50" s="34" t="s">
        <v>149</v>
      </c>
      <c r="K50" s="60" t="s">
        <v>110</v>
      </c>
    </row>
    <row r="51" ht="14.25" customHeight="1"/>
    <row r="52" ht="14.25" customHeight="1">
      <c r="A52" s="47" t="s">
        <v>154</v>
      </c>
      <c r="B52" s="40" t="s">
        <v>280</v>
      </c>
      <c r="C52" s="40" t="s">
        <v>281</v>
      </c>
      <c r="D52" s="43" t="s">
        <v>282</v>
      </c>
      <c r="E52" s="44">
        <v>0.005</v>
      </c>
      <c r="F52" s="40" t="s">
        <v>104</v>
      </c>
      <c r="G52" s="40" t="s">
        <v>129</v>
      </c>
      <c r="H52" s="40" t="s">
        <v>139</v>
      </c>
      <c r="I52" s="40">
        <v>2.32</v>
      </c>
      <c r="J52" s="40" t="s">
        <v>154</v>
      </c>
    </row>
    <row r="53" ht="14.25" customHeight="1">
      <c r="B53" s="40" t="s">
        <v>283</v>
      </c>
      <c r="C53" s="40" t="s">
        <v>284</v>
      </c>
      <c r="D53" s="43" t="s">
        <v>285</v>
      </c>
      <c r="E53" s="44">
        <v>0.002</v>
      </c>
      <c r="F53" s="40" t="s">
        <v>196</v>
      </c>
      <c r="G53" s="40" t="s">
        <v>129</v>
      </c>
      <c r="H53" s="40" t="s">
        <v>139</v>
      </c>
      <c r="I53" s="40">
        <v>2.28</v>
      </c>
      <c r="J53" s="40" t="s">
        <v>154</v>
      </c>
      <c r="K53" s="60"/>
    </row>
    <row r="54" ht="14.25" customHeight="1">
      <c r="B54" s="40" t="s">
        <v>286</v>
      </c>
      <c r="C54" s="40" t="s">
        <v>287</v>
      </c>
      <c r="D54" s="43" t="s">
        <v>288</v>
      </c>
      <c r="E54" s="44">
        <v>0.0025</v>
      </c>
      <c r="F54" s="40" t="s">
        <v>104</v>
      </c>
      <c r="G54" s="40" t="s">
        <v>129</v>
      </c>
      <c r="H54" s="40" t="s">
        <v>139</v>
      </c>
      <c r="I54" s="42">
        <v>3.35</v>
      </c>
      <c r="J54" s="40" t="s">
        <v>154</v>
      </c>
      <c r="K54" s="60" t="s">
        <v>110</v>
      </c>
    </row>
    <row r="55" ht="14.25" customHeight="1">
      <c r="E55" s="33"/>
    </row>
    <row r="56" ht="14.25" customHeight="1">
      <c r="A56" s="47" t="s">
        <v>137</v>
      </c>
      <c r="B56" s="64" t="s">
        <v>289</v>
      </c>
      <c r="C56" s="64" t="s">
        <v>290</v>
      </c>
      <c r="D56" s="65" t="s">
        <v>291</v>
      </c>
      <c r="E56" s="66">
        <v>0.001</v>
      </c>
      <c r="F56" s="64" t="s">
        <v>104</v>
      </c>
      <c r="G56" s="64" t="s">
        <v>137</v>
      </c>
      <c r="H56" s="64" t="s">
        <v>139</v>
      </c>
      <c r="I56" s="64">
        <v>6.51</v>
      </c>
      <c r="J56" s="64" t="s">
        <v>139</v>
      </c>
      <c r="K56" s="60" t="s">
        <v>110</v>
      </c>
    </row>
    <row r="57" ht="14.25" customHeight="1">
      <c r="B57" s="64" t="s">
        <v>292</v>
      </c>
      <c r="C57" s="64" t="s">
        <v>293</v>
      </c>
      <c r="D57" s="65" t="s">
        <v>294</v>
      </c>
      <c r="E57" s="66">
        <v>0.001</v>
      </c>
      <c r="F57" s="64" t="s">
        <v>83</v>
      </c>
      <c r="G57" s="64" t="s">
        <v>137</v>
      </c>
      <c r="H57" s="64" t="s">
        <v>139</v>
      </c>
      <c r="I57" s="64">
        <v>6.55</v>
      </c>
      <c r="J57" s="64" t="s">
        <v>139</v>
      </c>
    </row>
    <row r="58" ht="14.25" customHeight="1">
      <c r="A58" s="67"/>
    </row>
    <row r="59" ht="14.25" customHeight="1"/>
    <row r="60" ht="14.25" customHeight="1">
      <c r="A60" s="47" t="s">
        <v>295</v>
      </c>
      <c r="B60" s="60" t="s">
        <v>296</v>
      </c>
      <c r="C60" s="60" t="s">
        <v>297</v>
      </c>
      <c r="D60" s="61" t="s">
        <v>298</v>
      </c>
      <c r="E60" s="62">
        <v>9.0E-4</v>
      </c>
      <c r="F60" s="60" t="s">
        <v>104</v>
      </c>
      <c r="G60" s="60" t="s">
        <v>129</v>
      </c>
      <c r="H60" s="60" t="s">
        <v>299</v>
      </c>
      <c r="I60" s="60">
        <v>7.83</v>
      </c>
      <c r="J60" s="60" t="s">
        <v>232</v>
      </c>
      <c r="K60" s="60" t="s">
        <v>110</v>
      </c>
    </row>
    <row r="61" ht="14.25" customHeight="1">
      <c r="B61" s="60" t="s">
        <v>300</v>
      </c>
      <c r="C61" s="60" t="s">
        <v>301</v>
      </c>
      <c r="D61" s="61" t="s">
        <v>302</v>
      </c>
      <c r="E61" s="62">
        <v>9.0E-4</v>
      </c>
      <c r="F61" s="60" t="s">
        <v>217</v>
      </c>
      <c r="G61" s="60" t="s">
        <v>129</v>
      </c>
      <c r="H61" s="60" t="s">
        <v>295</v>
      </c>
      <c r="I61" s="60">
        <v>8.2</v>
      </c>
      <c r="J61" s="60" t="s">
        <v>232</v>
      </c>
      <c r="K61" s="60" t="s">
        <v>110</v>
      </c>
    </row>
    <row r="62" ht="14.25" customHeight="1"/>
    <row r="63" ht="14.25" customHeight="1"/>
    <row r="64" ht="14.25" customHeight="1">
      <c r="B64" s="24" t="s">
        <v>158</v>
      </c>
      <c r="C64" s="24" t="s">
        <v>75</v>
      </c>
      <c r="D64" s="24" t="s">
        <v>76</v>
      </c>
      <c r="E64" s="24" t="s">
        <v>77</v>
      </c>
      <c r="F64" s="24" t="s">
        <v>78</v>
      </c>
      <c r="G64" s="24" t="s">
        <v>79</v>
      </c>
      <c r="H64" s="24"/>
      <c r="I64" s="24"/>
      <c r="J64" s="24"/>
    </row>
    <row r="65" ht="14.25" customHeight="1">
      <c r="A65" s="47" t="s">
        <v>303</v>
      </c>
      <c r="B65" s="68" t="s">
        <v>304</v>
      </c>
      <c r="C65" s="68" t="s">
        <v>305</v>
      </c>
      <c r="D65" s="69" t="s">
        <v>306</v>
      </c>
      <c r="E65" s="70">
        <v>0.0012</v>
      </c>
      <c r="F65" s="68" t="s">
        <v>307</v>
      </c>
      <c r="G65" s="68" t="s">
        <v>137</v>
      </c>
      <c r="H65" s="68"/>
      <c r="I65" s="68"/>
      <c r="J65" s="68"/>
      <c r="K65" s="68" t="s">
        <v>110</v>
      </c>
    </row>
    <row r="66" ht="14.25" customHeight="1">
      <c r="B66" s="68" t="s">
        <v>308</v>
      </c>
      <c r="C66" s="68" t="s">
        <v>309</v>
      </c>
      <c r="D66" s="69" t="s">
        <v>310</v>
      </c>
      <c r="E66" s="70">
        <v>0.0012</v>
      </c>
      <c r="F66" s="68" t="s">
        <v>104</v>
      </c>
      <c r="G66" s="68" t="s">
        <v>137</v>
      </c>
      <c r="H66" s="68"/>
      <c r="I66" s="68"/>
      <c r="J66" s="68"/>
      <c r="K66" s="68" t="s">
        <v>110</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60:A61"/>
    <mergeCell ref="A65:A66"/>
    <mergeCell ref="A9:A14"/>
    <mergeCell ref="A16:A19"/>
    <mergeCell ref="A22:A27"/>
    <mergeCell ref="A34:A44"/>
    <mergeCell ref="A46:A50"/>
    <mergeCell ref="A52:A54"/>
    <mergeCell ref="A56:A57"/>
  </mergeCells>
  <hyperlinks>
    <hyperlink r:id="rId1" ref="D9"/>
    <hyperlink r:id="rId2" ref="D10"/>
    <hyperlink r:id="rId3" ref="D11"/>
    <hyperlink r:id="rId4" ref="D12"/>
    <hyperlink r:id="rId5" ref="D13"/>
    <hyperlink r:id="rId6" ref="D14"/>
    <hyperlink r:id="rId7" ref="D16"/>
    <hyperlink r:id="rId8" ref="D17"/>
    <hyperlink r:id="rId9" ref="D18"/>
    <hyperlink r:id="rId10" ref="D19"/>
    <hyperlink r:id="rId11" ref="D22"/>
    <hyperlink r:id="rId12" ref="D23"/>
    <hyperlink r:id="rId13" ref="D24"/>
    <hyperlink r:id="rId14" ref="D25"/>
    <hyperlink r:id="rId15" ref="D26"/>
    <hyperlink r:id="rId16" ref="D27"/>
    <hyperlink r:id="rId17" ref="D28"/>
    <hyperlink r:id="rId18" ref="D29"/>
    <hyperlink r:id="rId19" ref="D34"/>
    <hyperlink r:id="rId20" ref="D35"/>
    <hyperlink r:id="rId21" ref="D36"/>
    <hyperlink r:id="rId22" ref="D37"/>
    <hyperlink r:id="rId23" ref="D38"/>
    <hyperlink r:id="rId24" ref="D39"/>
    <hyperlink r:id="rId25" ref="D40"/>
    <hyperlink r:id="rId26" ref="D41"/>
    <hyperlink r:id="rId27" ref="D42"/>
    <hyperlink r:id="rId28" ref="D43"/>
    <hyperlink r:id="rId29" ref="D44"/>
    <hyperlink r:id="rId30" ref="D46"/>
    <hyperlink r:id="rId31" ref="D47"/>
    <hyperlink r:id="rId32" ref="D48"/>
    <hyperlink r:id="rId33" ref="D49"/>
    <hyperlink r:id="rId34" ref="D50"/>
    <hyperlink r:id="rId35" ref="D52"/>
    <hyperlink r:id="rId36" ref="D53"/>
    <hyperlink r:id="rId37" ref="D54"/>
    <hyperlink r:id="rId38" ref="D56"/>
    <hyperlink r:id="rId39" ref="D57"/>
    <hyperlink r:id="rId40" ref="D60"/>
    <hyperlink r:id="rId41" ref="D61"/>
    <hyperlink r:id="rId42" ref="D65"/>
    <hyperlink r:id="rId43" ref="D66"/>
  </hyperlinks>
  <printOptions/>
  <pageMargins bottom="0.75" footer="0.0" header="0.0" left="0.7" right="0.7" top="0.75"/>
  <pageSetup paperSize="9" orientation="portrait"/>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5.5"/>
    <col customWidth="1" min="3" max="4" width="10.63"/>
    <col customWidth="1" min="5" max="5" width="12.5"/>
    <col customWidth="1" min="6" max="6" width="59.5"/>
    <col customWidth="1" min="7" max="7" width="22.88"/>
    <col customWidth="1" min="8" max="8" width="13.0"/>
    <col customWidth="1" min="9" max="9" width="14.88"/>
    <col customWidth="1" min="10" max="10" width="10.63"/>
    <col customWidth="1" min="11" max="11" width="13.88"/>
    <col customWidth="1" min="12" max="12" width="14.88"/>
    <col customWidth="1" min="13" max="26" width="10.63"/>
  </cols>
  <sheetData>
    <row r="1" ht="14.25" customHeight="1">
      <c r="L1" s="71"/>
    </row>
    <row r="2" ht="14.25" customHeight="1">
      <c r="F2" s="72" t="s">
        <v>311</v>
      </c>
      <c r="L2" s="71"/>
    </row>
    <row r="3" ht="14.25" customHeight="1">
      <c r="L3" s="71"/>
    </row>
    <row r="4" ht="14.25" customHeight="1">
      <c r="F4" s="7" t="s">
        <v>312</v>
      </c>
      <c r="G4" s="73">
        <v>10000.0</v>
      </c>
      <c r="I4" s="74" t="s">
        <v>313</v>
      </c>
      <c r="J4" s="75"/>
      <c r="K4" s="71"/>
    </row>
    <row r="5" ht="14.25" customHeight="1">
      <c r="F5" s="7" t="s">
        <v>314</v>
      </c>
      <c r="G5" s="73">
        <v>0.0</v>
      </c>
      <c r="I5" s="74" t="s">
        <v>315</v>
      </c>
      <c r="J5" s="75"/>
      <c r="K5" s="71"/>
    </row>
    <row r="6" ht="14.25" customHeight="1">
      <c r="B6" s="7" t="s">
        <v>316</v>
      </c>
      <c r="C6" s="76">
        <v>6.0</v>
      </c>
      <c r="F6" s="77" t="s">
        <v>317</v>
      </c>
      <c r="G6" s="78">
        <f>+G4+G5</f>
        <v>10000</v>
      </c>
      <c r="H6" s="28"/>
      <c r="I6" s="74" t="s">
        <v>318</v>
      </c>
      <c r="J6" s="75"/>
      <c r="K6" s="71"/>
    </row>
    <row r="7" ht="14.25" customHeight="1">
      <c r="B7" s="7"/>
      <c r="C7" s="7"/>
      <c r="F7" s="7"/>
      <c r="G7" s="7"/>
      <c r="K7" s="71"/>
    </row>
    <row r="8" ht="14.25" customHeight="1">
      <c r="K8" s="71"/>
    </row>
    <row r="9" ht="14.25" customHeight="1">
      <c r="B9" s="7" t="s">
        <v>319</v>
      </c>
      <c r="C9" s="7" t="s">
        <v>320</v>
      </c>
      <c r="F9" s="79" t="s">
        <v>85</v>
      </c>
      <c r="G9" s="80">
        <f>+H9*$G$6</f>
        <v>5500</v>
      </c>
      <c r="H9" s="81">
        <f>+C11</f>
        <v>0.55</v>
      </c>
      <c r="K9" s="71"/>
    </row>
    <row r="10" ht="14.25" customHeight="1">
      <c r="G10" s="82"/>
      <c r="K10" s="71"/>
    </row>
    <row r="11" ht="14.25" customHeight="1">
      <c r="B11" s="83" t="s">
        <v>85</v>
      </c>
      <c r="C11" s="84">
        <f>+LOOKUP($C$6,'Pesos Cartera K Geográfica'!$C$4:$L$4,'Pesos Cartera K Geográfica'!C18:L18)</f>
        <v>0.55</v>
      </c>
      <c r="F11" s="7"/>
      <c r="G11" s="24" t="s">
        <v>321</v>
      </c>
      <c r="H11" s="85" t="s">
        <v>322</v>
      </c>
      <c r="I11" s="24" t="s">
        <v>323</v>
      </c>
      <c r="J11" s="24" t="s">
        <v>324</v>
      </c>
      <c r="K11" s="24" t="s">
        <v>325</v>
      </c>
      <c r="L11" s="86" t="s">
        <v>326</v>
      </c>
    </row>
    <row r="12" ht="14.25" customHeight="1">
      <c r="B12" s="87" t="s">
        <v>137</v>
      </c>
      <c r="C12" s="88">
        <f>+LOOKUP($C$6,'Pesos Cartera K Geográfica'!$C$4:$L$4,'Pesos Cartera K Geográfica'!C30:L30)</f>
        <v>0.5115</v>
      </c>
      <c r="F12" s="29" t="s">
        <v>117</v>
      </c>
      <c r="G12" s="29" t="s">
        <v>327</v>
      </c>
      <c r="H12" s="89">
        <v>0.0</v>
      </c>
      <c r="I12" s="28">
        <f t="shared" ref="I12:I13" si="1">C12</f>
        <v>0.5115</v>
      </c>
      <c r="J12" s="33">
        <f t="shared" ref="J12:J13" si="2">+H12/$G$6</f>
        <v>0</v>
      </c>
      <c r="K12" s="90">
        <f t="shared" ref="K12:K13" si="3">+I12*$G$6</f>
        <v>5115</v>
      </c>
      <c r="L12" s="71">
        <f t="shared" ref="L12:L13" si="4">+K12-H12</f>
        <v>5115</v>
      </c>
    </row>
    <row r="13" ht="14.25" customHeight="1">
      <c r="B13" s="91" t="s">
        <v>328</v>
      </c>
      <c r="C13" s="92">
        <f>+LOOKUP($C$6,'Pesos Cartera K Geográfica'!$C$4:$L$4,'Pesos Cartera K Geográfica'!C31:L31)</f>
        <v>0.0385</v>
      </c>
      <c r="F13" s="25" t="s">
        <v>106</v>
      </c>
      <c r="G13" s="93" t="s">
        <v>328</v>
      </c>
      <c r="H13" s="94">
        <v>0.0</v>
      </c>
      <c r="I13" s="28">
        <f t="shared" si="1"/>
        <v>0.0385</v>
      </c>
      <c r="J13" s="95">
        <f t="shared" si="2"/>
        <v>0</v>
      </c>
      <c r="K13" s="90">
        <f t="shared" si="3"/>
        <v>385</v>
      </c>
      <c r="L13" s="71">
        <f t="shared" si="4"/>
        <v>385</v>
      </c>
    </row>
    <row r="14" ht="14.25" customHeight="1">
      <c r="F14" s="96" t="s">
        <v>329</v>
      </c>
      <c r="G14" s="97"/>
      <c r="H14" s="98">
        <f>SUM(H11:H13)</f>
        <v>0</v>
      </c>
      <c r="I14" s="99">
        <f t="shared" ref="I14:L14" si="5">SUM(I12:I13)</f>
        <v>0.55</v>
      </c>
      <c r="J14" s="99">
        <f t="shared" si="5"/>
        <v>0</v>
      </c>
      <c r="K14" s="100">
        <f t="shared" si="5"/>
        <v>5500</v>
      </c>
      <c r="L14" s="100">
        <f t="shared" si="5"/>
        <v>5500</v>
      </c>
    </row>
    <row r="15" ht="14.25" customHeight="1"/>
    <row r="16" ht="14.25" customHeight="1"/>
    <row r="17" ht="14.25" customHeight="1">
      <c r="H17" s="82"/>
      <c r="K17" s="12" t="s">
        <v>330</v>
      </c>
      <c r="L17" s="71"/>
    </row>
    <row r="18" ht="14.25" customHeight="1">
      <c r="B18" s="101" t="s">
        <v>331</v>
      </c>
      <c r="C18" s="102">
        <f>+LOOKUP($C$6,'Pesos Cartera K Sectorial'!$C$10:$L$10,'Pesos Cartera K Sectorial'!C25:L25)</f>
        <v>0.25</v>
      </c>
      <c r="G18" s="40" t="s">
        <v>331</v>
      </c>
      <c r="H18" s="103">
        <f>+I18*$G$6</f>
        <v>2500</v>
      </c>
      <c r="I18" s="104">
        <f>+C18</f>
        <v>0.25</v>
      </c>
    </row>
    <row r="19" ht="14.25" customHeight="1">
      <c r="L19" s="71"/>
    </row>
    <row r="20" ht="14.25" customHeight="1">
      <c r="F20" s="7"/>
      <c r="G20" s="24" t="s">
        <v>332</v>
      </c>
      <c r="H20" s="105" t="s">
        <v>322</v>
      </c>
      <c r="I20" s="24" t="s">
        <v>323</v>
      </c>
      <c r="J20" s="24" t="s">
        <v>324</v>
      </c>
      <c r="K20" s="24" t="s">
        <v>325</v>
      </c>
      <c r="L20" s="86" t="s">
        <v>326</v>
      </c>
    </row>
    <row r="21" ht="14.25" customHeight="1">
      <c r="B21" s="106" t="s">
        <v>333</v>
      </c>
      <c r="C21" s="107">
        <f>+LOOKUP($C$6,'Pesos Cartera K Sectorial'!$C$10:$L$10,'Pesos Cartera K Sectorial'!C53:L53)</f>
        <v>0.25</v>
      </c>
      <c r="E21" s="106" t="s">
        <v>334</v>
      </c>
      <c r="F21" s="106"/>
      <c r="G21" s="106" t="s">
        <v>333</v>
      </c>
      <c r="H21" s="108">
        <f t="shared" ref="H21:J21" si="6">SUM(H22:H24)</f>
        <v>0</v>
      </c>
      <c r="I21" s="109">
        <f t="shared" si="6"/>
        <v>0</v>
      </c>
      <c r="J21" s="109">
        <f t="shared" si="6"/>
        <v>0</v>
      </c>
      <c r="K21" s="106">
        <f t="shared" ref="K21:K24" si="7">+I21*$G$6</f>
        <v>0</v>
      </c>
      <c r="L21" s="108">
        <f t="shared" ref="L21:L24" si="8">+K21-H21</f>
        <v>0</v>
      </c>
    </row>
    <row r="22" ht="14.25" customHeight="1">
      <c r="B22" s="110" t="s">
        <v>130</v>
      </c>
      <c r="C22" s="111"/>
      <c r="E22" s="112">
        <v>19.9</v>
      </c>
      <c r="F22" s="113" t="s">
        <v>127</v>
      </c>
      <c r="G22" s="113" t="s">
        <v>130</v>
      </c>
      <c r="H22" s="114"/>
      <c r="I22" s="115" t="str">
        <f t="shared" ref="I22:I24" si="9">+C22</f>
        <v/>
      </c>
      <c r="J22" s="115">
        <f t="shared" ref="J22:J24" si="10">+H22/$G$6</f>
        <v>0</v>
      </c>
      <c r="K22" s="116">
        <f t="shared" si="7"/>
        <v>0</v>
      </c>
      <c r="L22" s="116">
        <f t="shared" si="8"/>
        <v>0</v>
      </c>
    </row>
    <row r="23" ht="14.25" customHeight="1">
      <c r="B23" s="117" t="s">
        <v>134</v>
      </c>
      <c r="C23" s="118"/>
      <c r="E23" s="119">
        <v>7.33</v>
      </c>
      <c r="F23" s="120" t="s">
        <v>145</v>
      </c>
      <c r="G23" s="120" t="s">
        <v>134</v>
      </c>
      <c r="H23" s="112">
        <v>0.0</v>
      </c>
      <c r="I23" s="121" t="str">
        <f t="shared" si="9"/>
        <v/>
      </c>
      <c r="J23" s="121">
        <f t="shared" si="10"/>
        <v>0</v>
      </c>
      <c r="K23" s="122">
        <f t="shared" si="7"/>
        <v>0</v>
      </c>
      <c r="L23" s="122">
        <f t="shared" si="8"/>
        <v>0</v>
      </c>
    </row>
    <row r="24" ht="14.25" customHeight="1">
      <c r="B24" s="123" t="s">
        <v>138</v>
      </c>
      <c r="C24" s="124"/>
      <c r="E24" s="124"/>
      <c r="F24" s="125"/>
      <c r="G24" s="125" t="s">
        <v>138</v>
      </c>
      <c r="H24" s="126"/>
      <c r="I24" s="127" t="str">
        <f t="shared" si="9"/>
        <v/>
      </c>
      <c r="J24" s="127">
        <f t="shared" si="10"/>
        <v>0</v>
      </c>
      <c r="K24" s="128">
        <f t="shared" si="7"/>
        <v>0</v>
      </c>
      <c r="L24" s="128">
        <f t="shared" si="8"/>
        <v>0</v>
      </c>
    </row>
    <row r="25" ht="14.25" customHeight="1">
      <c r="B25" s="129"/>
      <c r="C25" s="129"/>
      <c r="H25" s="130"/>
      <c r="K25" s="131"/>
      <c r="L25" s="71"/>
    </row>
    <row r="26" ht="14.25" customHeight="1">
      <c r="B26" s="106" t="s">
        <v>149</v>
      </c>
      <c r="C26" s="107">
        <f>+LOOKUP($C$6,'Pesos Cartera K Sectorial'!$C$10:$L$10,'Pesos Cartera K Sectorial'!C54:L54)</f>
        <v>0</v>
      </c>
      <c r="E26" s="132">
        <v>2.69</v>
      </c>
      <c r="F26" s="133"/>
      <c r="G26" s="133" t="s">
        <v>149</v>
      </c>
      <c r="H26" s="134"/>
      <c r="I26" s="135">
        <f t="shared" ref="I26:I27" si="11">+C26</f>
        <v>0</v>
      </c>
      <c r="J26" s="115">
        <f t="shared" ref="J26:J28" si="12">+H26/$G$6</f>
        <v>0</v>
      </c>
      <c r="K26" s="136">
        <f t="shared" ref="K26:K28" si="13">+I26*$G$6</f>
        <v>0</v>
      </c>
      <c r="L26" s="136">
        <f t="shared" ref="L26:L28" si="14">+K26-H26</f>
        <v>0</v>
      </c>
    </row>
    <row r="27" ht="14.25" customHeight="1">
      <c r="B27" s="106" t="s">
        <v>335</v>
      </c>
      <c r="C27" s="107">
        <f>+LOOKUP($C$6,'Pesos Cartera K Sectorial'!$C$10:$L$10,'Pesos Cartera K Sectorial'!C55:L55)</f>
        <v>0</v>
      </c>
      <c r="E27" s="133">
        <v>6.0</v>
      </c>
      <c r="F27" s="133" t="s">
        <v>152</v>
      </c>
      <c r="G27" s="133" t="s">
        <v>335</v>
      </c>
      <c r="H27" s="137">
        <v>0.0</v>
      </c>
      <c r="I27" s="135">
        <f t="shared" si="11"/>
        <v>0</v>
      </c>
      <c r="J27" s="138">
        <f t="shared" si="12"/>
        <v>0</v>
      </c>
      <c r="K27" s="136">
        <f t="shared" si="13"/>
        <v>0</v>
      </c>
      <c r="L27" s="136">
        <f t="shared" si="14"/>
        <v>0</v>
      </c>
    </row>
    <row r="28" ht="14.25" customHeight="1">
      <c r="E28" s="139">
        <f>+(E22*C22+E23*C23+E24*C24+E26*C26+E27*C27)/C18</f>
        <v>0</v>
      </c>
      <c r="F28" s="140" t="s">
        <v>336</v>
      </c>
      <c r="G28" s="141"/>
      <c r="H28" s="142">
        <f>+H21+H26+H27</f>
        <v>0</v>
      </c>
      <c r="I28" s="143">
        <f>+I18</f>
        <v>0.25</v>
      </c>
      <c r="J28" s="144">
        <f t="shared" si="12"/>
        <v>0</v>
      </c>
      <c r="K28" s="145">
        <f t="shared" si="13"/>
        <v>2500</v>
      </c>
      <c r="L28" s="146">
        <f t="shared" si="14"/>
        <v>2500</v>
      </c>
    </row>
    <row r="29" ht="14.25" customHeight="1">
      <c r="K29" s="131"/>
      <c r="L29" s="71"/>
    </row>
    <row r="30" ht="14.25" customHeight="1">
      <c r="B30" s="147" t="s">
        <v>337</v>
      </c>
      <c r="C30" s="148">
        <f>+LOOKUP($C$6,'Pesos Cartera K Sectorial'!$C$10:$L$10,'Pesos Cartera K Sectorial'!C26:L26)</f>
        <v>0.2</v>
      </c>
      <c r="G30" s="149" t="s">
        <v>337</v>
      </c>
      <c r="H30" s="150">
        <f>+I30*$G$6</f>
        <v>2000</v>
      </c>
      <c r="I30" s="151">
        <f>+C30</f>
        <v>0.2</v>
      </c>
      <c r="K30" s="131"/>
      <c r="L30" s="71"/>
    </row>
    <row r="31" ht="14.25" customHeight="1">
      <c r="K31" s="131"/>
      <c r="L31" s="71"/>
    </row>
    <row r="32" ht="14.25" customHeight="1">
      <c r="F32" s="7"/>
      <c r="G32" s="24" t="s">
        <v>338</v>
      </c>
      <c r="H32" s="85" t="s">
        <v>322</v>
      </c>
      <c r="I32" s="24" t="s">
        <v>323</v>
      </c>
      <c r="J32" s="24" t="s">
        <v>324</v>
      </c>
      <c r="K32" s="24" t="s">
        <v>325</v>
      </c>
      <c r="L32" s="86" t="s">
        <v>326</v>
      </c>
    </row>
    <row r="33" ht="14.25" customHeight="1">
      <c r="F33" s="149" t="s">
        <v>339</v>
      </c>
      <c r="G33" s="149" t="s">
        <v>337</v>
      </c>
      <c r="H33" s="152">
        <v>0.0</v>
      </c>
      <c r="I33" s="151">
        <f>+I30</f>
        <v>0.2</v>
      </c>
      <c r="J33" s="151">
        <f>+H33/$G$6</f>
        <v>0</v>
      </c>
      <c r="K33" s="90">
        <f>+I33*$G$6</f>
        <v>2000</v>
      </c>
      <c r="L33" s="71">
        <f>+K33-H33</f>
        <v>2000</v>
      </c>
    </row>
    <row r="34" ht="14.25" customHeight="1">
      <c r="H34" s="153"/>
      <c r="L34" s="71"/>
    </row>
    <row r="35" ht="14.25" customHeight="1">
      <c r="G35" s="154" t="s">
        <v>340</v>
      </c>
      <c r="H35" s="155">
        <f>+H33+H28+H14</f>
        <v>0</v>
      </c>
      <c r="I35" s="154"/>
      <c r="J35" s="154"/>
      <c r="K35" s="155">
        <f>+K33+K28+K14</f>
        <v>10000</v>
      </c>
      <c r="L35" s="156">
        <f>+K35-H35</f>
        <v>10000</v>
      </c>
    </row>
    <row r="36" ht="14.25" customHeight="1">
      <c r="L36" s="71"/>
    </row>
    <row r="37" ht="14.25" customHeight="1">
      <c r="L37" s="71"/>
    </row>
    <row r="38" ht="14.25" customHeight="1">
      <c r="L38" s="71"/>
    </row>
    <row r="39" ht="14.25" customHeight="1">
      <c r="L39" s="71"/>
    </row>
    <row r="40" ht="14.25" customHeight="1">
      <c r="L40" s="71"/>
    </row>
    <row r="41" ht="14.25" customHeight="1">
      <c r="F41" s="7" t="s">
        <v>341</v>
      </c>
      <c r="G41" s="7"/>
      <c r="L41" s="71"/>
    </row>
    <row r="42" ht="14.25" customHeight="1">
      <c r="F42" s="24" t="s">
        <v>76</v>
      </c>
      <c r="G42" s="24" t="s">
        <v>342</v>
      </c>
      <c r="H42" s="24" t="s">
        <v>338</v>
      </c>
      <c r="I42" s="24" t="s">
        <v>322</v>
      </c>
      <c r="J42" s="24" t="s">
        <v>77</v>
      </c>
      <c r="L42" s="71"/>
    </row>
    <row r="43" ht="14.25" customHeight="1">
      <c r="F43" s="157" t="s">
        <v>343</v>
      </c>
      <c r="G43" s="157" t="s">
        <v>344</v>
      </c>
      <c r="H43" s="12" t="s">
        <v>345</v>
      </c>
      <c r="I43" s="82">
        <v>0.0</v>
      </c>
      <c r="J43" s="33">
        <v>6.0E-4</v>
      </c>
      <c r="L43" s="71"/>
    </row>
    <row r="44" ht="14.25" customHeight="1">
      <c r="L44" s="71"/>
    </row>
    <row r="45" ht="14.25" customHeight="1">
      <c r="L45" s="71"/>
    </row>
    <row r="46" ht="14.25" customHeight="1">
      <c r="L46" s="71"/>
    </row>
    <row r="47" ht="14.25" customHeight="1">
      <c r="L47" s="71"/>
    </row>
    <row r="48" ht="14.25" customHeight="1">
      <c r="L48" s="71"/>
    </row>
    <row r="49" ht="14.25" customHeight="1">
      <c r="L49" s="71"/>
    </row>
    <row r="50" ht="14.25" customHeight="1">
      <c r="L50" s="158"/>
    </row>
    <row r="51" ht="14.25" customHeight="1">
      <c r="L51" s="71"/>
    </row>
    <row r="52" ht="14.25" customHeight="1">
      <c r="L52" s="71"/>
    </row>
    <row r="53" ht="14.25" customHeight="1">
      <c r="L53" s="71"/>
    </row>
    <row r="54" ht="14.25" customHeight="1">
      <c r="L54" s="71"/>
    </row>
    <row r="55" ht="14.25" customHeight="1">
      <c r="L55" s="71"/>
    </row>
    <row r="56" ht="14.25" customHeight="1">
      <c r="L56" s="71"/>
    </row>
    <row r="57" ht="14.25" customHeight="1">
      <c r="L57" s="71"/>
    </row>
    <row r="58" ht="14.25" customHeight="1">
      <c r="L58" s="71"/>
    </row>
    <row r="59" ht="14.25" customHeight="1">
      <c r="L59" s="71"/>
    </row>
    <row r="60" ht="14.25" customHeight="1">
      <c r="L60" s="71"/>
    </row>
    <row r="61" ht="14.25" customHeight="1">
      <c r="L61" s="71"/>
    </row>
    <row r="62" ht="14.25" customHeight="1">
      <c r="L62" s="71"/>
    </row>
    <row r="63" ht="14.25" customHeight="1">
      <c r="L63" s="71"/>
    </row>
    <row r="64" ht="14.25" customHeight="1">
      <c r="L64" s="71"/>
    </row>
    <row r="65" ht="14.25" customHeight="1">
      <c r="L65" s="71"/>
    </row>
    <row r="66" ht="14.25" customHeight="1">
      <c r="L66" s="71"/>
    </row>
    <row r="67" ht="14.25" customHeight="1">
      <c r="L67" s="71"/>
    </row>
    <row r="68" ht="14.25" customHeight="1">
      <c r="L68" s="71"/>
    </row>
    <row r="69" ht="14.25" customHeight="1">
      <c r="L69" s="71"/>
    </row>
    <row r="70" ht="14.25" customHeight="1">
      <c r="L70" s="71"/>
    </row>
    <row r="71" ht="14.25" customHeight="1">
      <c r="L71" s="71"/>
    </row>
    <row r="72" ht="14.25" customHeight="1">
      <c r="L72" s="71"/>
    </row>
    <row r="73" ht="14.25" customHeight="1">
      <c r="L73" s="71"/>
    </row>
    <row r="74" ht="14.25" customHeight="1">
      <c r="L74" s="71"/>
    </row>
    <row r="75" ht="14.25" customHeight="1">
      <c r="L75" s="71"/>
    </row>
    <row r="76" ht="14.25" customHeight="1">
      <c r="L76" s="71"/>
    </row>
    <row r="77" ht="14.25" customHeight="1">
      <c r="L77" s="71"/>
    </row>
    <row r="78" ht="14.25" customHeight="1">
      <c r="L78" s="71"/>
    </row>
    <row r="79" ht="14.25" customHeight="1">
      <c r="L79" s="71"/>
    </row>
    <row r="80" ht="14.25" customHeight="1">
      <c r="L80" s="71"/>
    </row>
    <row r="81" ht="14.25" customHeight="1">
      <c r="L81" s="71"/>
    </row>
    <row r="82" ht="14.25" customHeight="1">
      <c r="L82" s="71"/>
    </row>
    <row r="83" ht="14.25" customHeight="1">
      <c r="L83" s="71"/>
    </row>
    <row r="84" ht="14.25" customHeight="1">
      <c r="L84" s="71"/>
    </row>
    <row r="85" ht="14.25" customHeight="1">
      <c r="L85" s="71"/>
    </row>
    <row r="86" ht="14.25" customHeight="1">
      <c r="L86" s="71"/>
    </row>
    <row r="87" ht="14.25" customHeight="1">
      <c r="L87" s="71"/>
    </row>
    <row r="88" ht="14.25" customHeight="1">
      <c r="L88" s="71"/>
    </row>
    <row r="89" ht="14.25" customHeight="1">
      <c r="L89" s="71"/>
    </row>
    <row r="90" ht="14.25" customHeight="1">
      <c r="L90" s="71"/>
    </row>
    <row r="91" ht="14.25" customHeight="1">
      <c r="L91" s="71"/>
    </row>
    <row r="92" ht="14.25" customHeight="1">
      <c r="L92" s="71"/>
    </row>
    <row r="93" ht="14.25" customHeight="1">
      <c r="L93" s="71"/>
    </row>
    <row r="94" ht="14.25" customHeight="1">
      <c r="L94" s="71"/>
    </row>
    <row r="95" ht="14.25" customHeight="1">
      <c r="L95" s="71"/>
    </row>
    <row r="96" ht="14.25" customHeight="1">
      <c r="L96" s="71"/>
    </row>
    <row r="97" ht="14.25" customHeight="1">
      <c r="L97" s="71"/>
    </row>
    <row r="98" ht="14.25" customHeight="1">
      <c r="L98" s="71"/>
    </row>
    <row r="99" ht="14.25" customHeight="1">
      <c r="L99" s="71"/>
    </row>
    <row r="100" ht="14.25" customHeight="1">
      <c r="L100" s="71"/>
    </row>
    <row r="101" ht="14.25" customHeight="1">
      <c r="L101" s="71"/>
    </row>
    <row r="102" ht="14.25" customHeight="1">
      <c r="L102" s="71"/>
    </row>
    <row r="103" ht="14.25" customHeight="1">
      <c r="L103" s="71"/>
    </row>
    <row r="104" ht="14.25" customHeight="1">
      <c r="L104" s="71"/>
    </row>
    <row r="105" ht="14.25" customHeight="1">
      <c r="L105" s="71"/>
    </row>
    <row r="106" ht="14.25" customHeight="1">
      <c r="L106" s="71"/>
    </row>
    <row r="107" ht="14.25" customHeight="1">
      <c r="L107" s="71"/>
    </row>
    <row r="108" ht="14.25" customHeight="1">
      <c r="L108" s="71"/>
    </row>
    <row r="109" ht="14.25" customHeight="1">
      <c r="L109" s="71"/>
    </row>
    <row r="110" ht="14.25" customHeight="1">
      <c r="L110" s="71"/>
    </row>
    <row r="111" ht="14.25" customHeight="1">
      <c r="L111" s="71"/>
    </row>
    <row r="112" ht="14.25" customHeight="1">
      <c r="L112" s="71"/>
    </row>
    <row r="113" ht="14.25" customHeight="1">
      <c r="L113" s="71"/>
    </row>
    <row r="114" ht="14.25" customHeight="1">
      <c r="L114" s="71"/>
    </row>
    <row r="115" ht="14.25" customHeight="1">
      <c r="L115" s="71"/>
    </row>
    <row r="116" ht="14.25" customHeight="1">
      <c r="L116" s="71"/>
    </row>
    <row r="117" ht="14.25" customHeight="1">
      <c r="L117" s="71"/>
    </row>
    <row r="118" ht="14.25" customHeight="1">
      <c r="L118" s="71"/>
    </row>
    <row r="119" ht="14.25" customHeight="1">
      <c r="L119" s="71"/>
    </row>
    <row r="120" ht="14.25" customHeight="1">
      <c r="L120" s="71"/>
    </row>
    <row r="121" ht="14.25" customHeight="1">
      <c r="L121" s="71"/>
    </row>
    <row r="122" ht="14.25" customHeight="1">
      <c r="L122" s="71"/>
    </row>
    <row r="123" ht="14.25" customHeight="1">
      <c r="L123" s="71"/>
    </row>
    <row r="124" ht="14.25" customHeight="1">
      <c r="L124" s="71"/>
    </row>
    <row r="125" ht="14.25" customHeight="1">
      <c r="L125" s="71"/>
    </row>
    <row r="126" ht="14.25" customHeight="1">
      <c r="L126" s="71"/>
    </row>
    <row r="127" ht="14.25" customHeight="1">
      <c r="L127" s="71"/>
    </row>
    <row r="128" ht="14.25" customHeight="1">
      <c r="L128" s="71"/>
    </row>
    <row r="129" ht="14.25" customHeight="1">
      <c r="L129" s="71"/>
    </row>
    <row r="130" ht="14.25" customHeight="1">
      <c r="L130" s="71"/>
    </row>
    <row r="131" ht="14.25" customHeight="1">
      <c r="L131" s="71"/>
    </row>
    <row r="132" ht="14.25" customHeight="1">
      <c r="L132" s="71"/>
    </row>
    <row r="133" ht="14.25" customHeight="1">
      <c r="L133" s="71"/>
    </row>
    <row r="134" ht="14.25" customHeight="1">
      <c r="L134" s="71"/>
    </row>
    <row r="135" ht="14.25" customHeight="1">
      <c r="L135" s="71"/>
    </row>
    <row r="136" ht="14.25" customHeight="1">
      <c r="L136" s="71"/>
    </row>
    <row r="137" ht="14.25" customHeight="1">
      <c r="L137" s="71"/>
    </row>
    <row r="138" ht="14.25" customHeight="1">
      <c r="L138" s="71"/>
    </row>
    <row r="139" ht="14.25" customHeight="1">
      <c r="L139" s="71"/>
    </row>
    <row r="140" ht="14.25" customHeight="1">
      <c r="L140" s="71"/>
    </row>
    <row r="141" ht="14.25" customHeight="1">
      <c r="L141" s="71"/>
    </row>
    <row r="142" ht="14.25" customHeight="1">
      <c r="L142" s="71"/>
    </row>
    <row r="143" ht="14.25" customHeight="1">
      <c r="L143" s="71"/>
    </row>
    <row r="144" ht="14.25" customHeight="1">
      <c r="L144" s="71"/>
    </row>
    <row r="145" ht="14.25" customHeight="1">
      <c r="L145" s="71"/>
    </row>
    <row r="146" ht="14.25" customHeight="1">
      <c r="L146" s="71"/>
    </row>
    <row r="147" ht="14.25" customHeight="1">
      <c r="L147" s="71"/>
    </row>
    <row r="148" ht="14.25" customHeight="1">
      <c r="L148" s="71"/>
    </row>
    <row r="149" ht="14.25" customHeight="1">
      <c r="L149" s="71"/>
    </row>
    <row r="150" ht="14.25" customHeight="1">
      <c r="L150" s="71"/>
    </row>
    <row r="151" ht="14.25" customHeight="1">
      <c r="L151" s="71"/>
    </row>
    <row r="152" ht="14.25" customHeight="1">
      <c r="L152" s="71"/>
    </row>
    <row r="153" ht="14.25" customHeight="1">
      <c r="L153" s="71"/>
    </row>
    <row r="154" ht="14.25" customHeight="1">
      <c r="L154" s="71"/>
    </row>
    <row r="155" ht="14.25" customHeight="1">
      <c r="L155" s="71"/>
    </row>
    <row r="156" ht="14.25" customHeight="1">
      <c r="L156" s="71"/>
    </row>
    <row r="157" ht="14.25" customHeight="1">
      <c r="L157" s="71"/>
    </row>
    <row r="158" ht="14.25" customHeight="1">
      <c r="L158" s="71"/>
    </row>
    <row r="159" ht="14.25" customHeight="1">
      <c r="L159" s="71"/>
    </row>
    <row r="160" ht="14.25" customHeight="1">
      <c r="L160" s="71"/>
    </row>
    <row r="161" ht="14.25" customHeight="1">
      <c r="L161" s="71"/>
    </row>
    <row r="162" ht="14.25" customHeight="1">
      <c r="L162" s="71"/>
    </row>
    <row r="163" ht="14.25" customHeight="1">
      <c r="L163" s="71"/>
    </row>
    <row r="164" ht="14.25" customHeight="1">
      <c r="L164" s="71"/>
    </row>
    <row r="165" ht="14.25" customHeight="1">
      <c r="L165" s="71"/>
    </row>
    <row r="166" ht="14.25" customHeight="1">
      <c r="L166" s="71"/>
    </row>
    <row r="167" ht="14.25" customHeight="1">
      <c r="L167" s="71"/>
    </row>
    <row r="168" ht="14.25" customHeight="1">
      <c r="L168" s="71"/>
    </row>
    <row r="169" ht="14.25" customHeight="1">
      <c r="L169" s="71"/>
    </row>
    <row r="170" ht="14.25" customHeight="1">
      <c r="L170" s="71"/>
    </row>
    <row r="171" ht="14.25" customHeight="1">
      <c r="L171" s="71"/>
    </row>
    <row r="172" ht="14.25" customHeight="1">
      <c r="L172" s="71"/>
    </row>
    <row r="173" ht="14.25" customHeight="1">
      <c r="L173" s="71"/>
    </row>
    <row r="174" ht="14.25" customHeight="1">
      <c r="L174" s="71"/>
    </row>
    <row r="175" ht="14.25" customHeight="1">
      <c r="L175" s="71"/>
    </row>
    <row r="176" ht="14.25" customHeight="1">
      <c r="L176" s="71"/>
    </row>
    <row r="177" ht="14.25" customHeight="1">
      <c r="L177" s="71"/>
    </row>
    <row r="178" ht="14.25" customHeight="1">
      <c r="L178" s="71"/>
    </row>
    <row r="179" ht="14.25" customHeight="1">
      <c r="L179" s="71"/>
    </row>
    <row r="180" ht="14.25" customHeight="1">
      <c r="L180" s="71"/>
    </row>
    <row r="181" ht="14.25" customHeight="1">
      <c r="L181" s="71"/>
    </row>
    <row r="182" ht="14.25" customHeight="1">
      <c r="L182" s="71"/>
    </row>
    <row r="183" ht="14.25" customHeight="1">
      <c r="L183" s="71"/>
    </row>
    <row r="184" ht="14.25" customHeight="1">
      <c r="L184" s="71"/>
    </row>
    <row r="185" ht="14.25" customHeight="1">
      <c r="L185" s="71"/>
    </row>
    <row r="186" ht="14.25" customHeight="1">
      <c r="L186" s="71"/>
    </row>
    <row r="187" ht="14.25" customHeight="1">
      <c r="L187" s="71"/>
    </row>
    <row r="188" ht="14.25" customHeight="1">
      <c r="L188" s="71"/>
    </row>
    <row r="189" ht="14.25" customHeight="1">
      <c r="L189" s="71"/>
    </row>
    <row r="190" ht="14.25" customHeight="1">
      <c r="L190" s="71"/>
    </row>
    <row r="191" ht="14.25" customHeight="1">
      <c r="L191" s="71"/>
    </row>
    <row r="192" ht="14.25" customHeight="1">
      <c r="L192" s="71"/>
    </row>
    <row r="193" ht="14.25" customHeight="1">
      <c r="L193" s="71"/>
    </row>
    <row r="194" ht="14.25" customHeight="1">
      <c r="L194" s="71"/>
    </row>
    <row r="195" ht="14.25" customHeight="1">
      <c r="L195" s="71"/>
    </row>
    <row r="196" ht="14.25" customHeight="1">
      <c r="L196" s="71"/>
    </row>
    <row r="197" ht="14.25" customHeight="1">
      <c r="L197" s="71"/>
    </row>
    <row r="198" ht="14.25" customHeight="1">
      <c r="L198" s="71"/>
    </row>
    <row r="199" ht="14.25" customHeight="1">
      <c r="L199" s="71"/>
    </row>
    <row r="200" ht="14.25" customHeight="1">
      <c r="L200" s="71"/>
    </row>
    <row r="201" ht="14.25" customHeight="1">
      <c r="L201" s="71"/>
    </row>
    <row r="202" ht="14.25" customHeight="1">
      <c r="L202" s="71"/>
    </row>
    <row r="203" ht="14.25" customHeight="1">
      <c r="L203" s="71"/>
    </row>
    <row r="204" ht="14.25" customHeight="1">
      <c r="L204" s="71"/>
    </row>
    <row r="205" ht="14.25" customHeight="1">
      <c r="L205" s="71"/>
    </row>
    <row r="206" ht="14.25" customHeight="1">
      <c r="L206" s="71"/>
    </row>
    <row r="207" ht="14.25" customHeight="1">
      <c r="L207" s="71"/>
    </row>
    <row r="208" ht="14.25" customHeight="1">
      <c r="L208" s="71"/>
    </row>
    <row r="209" ht="14.25" customHeight="1">
      <c r="L209" s="71"/>
    </row>
    <row r="210" ht="14.25" customHeight="1">
      <c r="L210" s="71"/>
    </row>
    <row r="211" ht="14.25" customHeight="1">
      <c r="L211" s="71"/>
    </row>
    <row r="212" ht="14.25" customHeight="1">
      <c r="L212" s="71"/>
    </row>
    <row r="213" ht="14.25" customHeight="1">
      <c r="L213" s="71"/>
    </row>
    <row r="214" ht="14.25" customHeight="1">
      <c r="L214" s="71"/>
    </row>
    <row r="215" ht="14.25" customHeight="1">
      <c r="L215" s="71"/>
    </row>
    <row r="216" ht="14.25" customHeight="1">
      <c r="L216" s="71"/>
    </row>
    <row r="217" ht="14.25" customHeight="1">
      <c r="L217" s="71"/>
    </row>
    <row r="218" ht="14.25" customHeight="1">
      <c r="L218" s="71"/>
    </row>
    <row r="219" ht="14.25" customHeight="1">
      <c r="L219" s="71"/>
    </row>
    <row r="220" ht="14.25" customHeight="1">
      <c r="L220" s="71"/>
    </row>
    <row r="221" ht="14.25" customHeight="1">
      <c r="L221" s="71"/>
    </row>
    <row r="222" ht="14.25" customHeight="1">
      <c r="L222" s="71"/>
    </row>
    <row r="223" ht="14.25" customHeight="1">
      <c r="L223" s="71"/>
    </row>
    <row r="224" ht="14.25" customHeight="1">
      <c r="L224" s="71"/>
    </row>
    <row r="225" ht="14.25" customHeight="1">
      <c r="L225" s="71"/>
    </row>
    <row r="226" ht="14.25" customHeight="1">
      <c r="L226" s="71"/>
    </row>
    <row r="227" ht="14.25" customHeight="1">
      <c r="L227" s="71"/>
    </row>
    <row r="228" ht="14.25" customHeight="1">
      <c r="L228" s="71"/>
    </row>
    <row r="229" ht="14.25" customHeight="1">
      <c r="L229" s="71"/>
    </row>
    <row r="230" ht="14.25" customHeight="1">
      <c r="L230" s="71"/>
    </row>
    <row r="231" ht="14.25" customHeight="1">
      <c r="L231" s="71"/>
    </row>
    <row r="232" ht="14.25" customHeight="1">
      <c r="L232" s="71"/>
    </row>
    <row r="233" ht="14.25" customHeight="1">
      <c r="L233" s="71"/>
    </row>
    <row r="234" ht="14.25" customHeight="1">
      <c r="L234" s="71"/>
    </row>
    <row r="235" ht="14.25" customHeight="1">
      <c r="L235" s="71"/>
    </row>
    <row r="236" ht="14.25" customHeight="1">
      <c r="L236" s="71"/>
    </row>
    <row r="237" ht="14.25" customHeight="1">
      <c r="L237" s="71"/>
    </row>
    <row r="238" ht="14.25" customHeight="1">
      <c r="L238" s="71"/>
    </row>
    <row r="239" ht="14.25" customHeight="1">
      <c r="L239" s="71"/>
    </row>
    <row r="240" ht="14.25" customHeight="1">
      <c r="L240" s="71"/>
    </row>
    <row r="241" ht="14.25" customHeight="1">
      <c r="L241" s="71"/>
    </row>
    <row r="242" ht="14.25" customHeight="1">
      <c r="L242" s="71"/>
    </row>
    <row r="243" ht="14.25" customHeight="1">
      <c r="L243" s="71"/>
    </row>
    <row r="244" ht="14.25" customHeight="1">
      <c r="L244" s="71"/>
    </row>
    <row r="245" ht="14.25" customHeight="1">
      <c r="L245" s="71"/>
    </row>
    <row r="246" ht="14.25" customHeight="1">
      <c r="L246" s="71"/>
    </row>
    <row r="247" ht="14.25" customHeight="1">
      <c r="L247" s="71"/>
    </row>
    <row r="248" ht="14.25" customHeight="1">
      <c r="L248" s="71"/>
    </row>
    <row r="249" ht="14.25" customHeight="1">
      <c r="L249" s="71"/>
    </row>
    <row r="250" ht="14.25" customHeight="1">
      <c r="L250" s="71"/>
    </row>
    <row r="251" ht="14.25" customHeight="1">
      <c r="L251" s="71"/>
    </row>
    <row r="252" ht="14.25" customHeight="1">
      <c r="L252" s="71"/>
    </row>
    <row r="253" ht="14.25" customHeight="1">
      <c r="L253" s="71"/>
    </row>
    <row r="254" ht="14.25" customHeight="1">
      <c r="L254" s="71"/>
    </row>
    <row r="255" ht="14.25" customHeight="1">
      <c r="L255" s="71"/>
    </row>
    <row r="256" ht="14.25" customHeight="1">
      <c r="L256" s="71"/>
    </row>
    <row r="257" ht="14.25" customHeight="1">
      <c r="L257" s="71"/>
    </row>
    <row r="258" ht="14.25" customHeight="1">
      <c r="L258" s="71"/>
    </row>
    <row r="259" ht="14.25" customHeight="1">
      <c r="L259" s="71"/>
    </row>
    <row r="260" ht="14.25" customHeight="1">
      <c r="L260" s="71"/>
    </row>
    <row r="261" ht="14.25" customHeight="1">
      <c r="L261" s="71"/>
    </row>
    <row r="262" ht="14.25" customHeight="1">
      <c r="L262" s="71"/>
    </row>
    <row r="263" ht="14.25" customHeight="1">
      <c r="L263" s="71"/>
    </row>
    <row r="264" ht="14.25" customHeight="1">
      <c r="L264" s="71"/>
    </row>
    <row r="265" ht="14.25" customHeight="1">
      <c r="L265" s="71"/>
    </row>
    <row r="266" ht="14.25" customHeight="1">
      <c r="L266" s="71"/>
    </row>
    <row r="267" ht="14.25" customHeight="1">
      <c r="L267" s="71"/>
    </row>
    <row r="268" ht="14.25" customHeight="1">
      <c r="L268" s="71"/>
    </row>
    <row r="269" ht="14.25" customHeight="1">
      <c r="L269" s="71"/>
    </row>
    <row r="270" ht="14.25" customHeight="1">
      <c r="L270" s="71"/>
    </row>
    <row r="271" ht="14.25" customHeight="1">
      <c r="L271" s="71"/>
    </row>
    <row r="272" ht="14.25" customHeight="1">
      <c r="L272" s="71"/>
    </row>
    <row r="273" ht="14.25" customHeight="1">
      <c r="L273" s="71"/>
    </row>
    <row r="274" ht="14.25" customHeight="1">
      <c r="L274" s="71"/>
    </row>
    <row r="275" ht="14.25" customHeight="1">
      <c r="L275" s="71"/>
    </row>
    <row r="276" ht="14.25" customHeight="1">
      <c r="L276" s="71"/>
    </row>
    <row r="277" ht="14.25" customHeight="1">
      <c r="L277" s="71"/>
    </row>
    <row r="278" ht="14.25" customHeight="1">
      <c r="L278" s="71"/>
    </row>
    <row r="279" ht="14.25" customHeight="1">
      <c r="L279" s="71"/>
    </row>
    <row r="280" ht="14.25" customHeight="1">
      <c r="L280" s="71"/>
    </row>
    <row r="281" ht="14.25" customHeight="1">
      <c r="L281" s="71"/>
    </row>
    <row r="282" ht="14.25" customHeight="1">
      <c r="L282" s="71"/>
    </row>
    <row r="283" ht="14.25" customHeight="1">
      <c r="L283" s="71"/>
    </row>
    <row r="284" ht="14.25" customHeight="1">
      <c r="L284" s="71"/>
    </row>
    <row r="285" ht="14.25" customHeight="1">
      <c r="L285" s="71"/>
    </row>
    <row r="286" ht="14.25" customHeight="1">
      <c r="L286" s="71"/>
    </row>
    <row r="287" ht="14.25" customHeight="1">
      <c r="L287" s="71"/>
    </row>
    <row r="288" ht="14.25" customHeight="1">
      <c r="L288" s="71"/>
    </row>
    <row r="289" ht="14.25" customHeight="1">
      <c r="L289" s="71"/>
    </row>
    <row r="290" ht="14.25" customHeight="1">
      <c r="L290" s="71"/>
    </row>
    <row r="291" ht="14.25" customHeight="1">
      <c r="L291" s="71"/>
    </row>
    <row r="292" ht="14.25" customHeight="1">
      <c r="L292" s="71"/>
    </row>
    <row r="293" ht="14.25" customHeight="1">
      <c r="L293" s="71"/>
    </row>
    <row r="294" ht="14.25" customHeight="1">
      <c r="L294" s="71"/>
    </row>
    <row r="295" ht="14.25" customHeight="1">
      <c r="L295" s="71"/>
    </row>
    <row r="296" ht="14.25" customHeight="1">
      <c r="L296" s="71"/>
    </row>
    <row r="297" ht="14.25" customHeight="1">
      <c r="L297" s="71"/>
    </row>
    <row r="298" ht="14.25" customHeight="1">
      <c r="L298" s="71"/>
    </row>
    <row r="299" ht="14.25" customHeight="1">
      <c r="L299" s="71"/>
    </row>
    <row r="300" ht="14.25" customHeight="1">
      <c r="L300" s="71"/>
    </row>
    <row r="301" ht="14.25" customHeight="1">
      <c r="L301" s="71"/>
    </row>
    <row r="302" ht="14.25" customHeight="1">
      <c r="L302" s="71"/>
    </row>
    <row r="303" ht="14.25" customHeight="1">
      <c r="L303" s="71"/>
    </row>
    <row r="304" ht="14.25" customHeight="1">
      <c r="L304" s="71"/>
    </row>
    <row r="305" ht="14.25" customHeight="1">
      <c r="L305" s="71"/>
    </row>
    <row r="306" ht="14.25" customHeight="1">
      <c r="L306" s="71"/>
    </row>
    <row r="307" ht="14.25" customHeight="1">
      <c r="L307" s="71"/>
    </row>
    <row r="308" ht="14.25" customHeight="1">
      <c r="L308" s="71"/>
    </row>
    <row r="309" ht="14.25" customHeight="1">
      <c r="L309" s="71"/>
    </row>
    <row r="310" ht="14.25" customHeight="1">
      <c r="L310" s="71"/>
    </row>
    <row r="311" ht="14.25" customHeight="1">
      <c r="L311" s="71"/>
    </row>
    <row r="312" ht="14.25" customHeight="1">
      <c r="L312" s="71"/>
    </row>
    <row r="313" ht="14.25" customHeight="1">
      <c r="L313" s="71"/>
    </row>
    <row r="314" ht="14.25" customHeight="1">
      <c r="L314" s="71"/>
    </row>
    <row r="315" ht="14.25" customHeight="1">
      <c r="L315" s="71"/>
    </row>
    <row r="316" ht="14.25" customHeight="1">
      <c r="L316" s="71"/>
    </row>
    <row r="317" ht="14.25" customHeight="1">
      <c r="L317" s="71"/>
    </row>
    <row r="318" ht="14.25" customHeight="1">
      <c r="L318" s="71"/>
    </row>
    <row r="319" ht="14.25" customHeight="1">
      <c r="L319" s="71"/>
    </row>
    <row r="320" ht="14.25" customHeight="1">
      <c r="L320" s="71"/>
    </row>
    <row r="321" ht="14.25" customHeight="1">
      <c r="L321" s="71"/>
    </row>
    <row r="322" ht="14.25" customHeight="1">
      <c r="L322" s="71"/>
    </row>
    <row r="323" ht="14.25" customHeight="1">
      <c r="L323" s="71"/>
    </row>
    <row r="324" ht="14.25" customHeight="1">
      <c r="L324" s="71"/>
    </row>
    <row r="325" ht="14.25" customHeight="1">
      <c r="L325" s="71"/>
    </row>
    <row r="326" ht="14.25" customHeight="1">
      <c r="L326" s="71"/>
    </row>
    <row r="327" ht="14.25" customHeight="1">
      <c r="L327" s="71"/>
    </row>
    <row r="328" ht="14.25" customHeight="1">
      <c r="L328" s="71"/>
    </row>
    <row r="329" ht="14.25" customHeight="1">
      <c r="L329" s="71"/>
    </row>
    <row r="330" ht="14.25" customHeight="1">
      <c r="L330" s="71"/>
    </row>
    <row r="331" ht="14.25" customHeight="1">
      <c r="L331" s="71"/>
    </row>
    <row r="332" ht="14.25" customHeight="1">
      <c r="L332" s="71"/>
    </row>
    <row r="333" ht="14.25" customHeight="1">
      <c r="L333" s="71"/>
    </row>
    <row r="334" ht="14.25" customHeight="1">
      <c r="L334" s="71"/>
    </row>
    <row r="335" ht="14.25" customHeight="1">
      <c r="L335" s="71"/>
    </row>
    <row r="336" ht="14.25" customHeight="1">
      <c r="L336" s="71"/>
    </row>
    <row r="337" ht="14.25" customHeight="1">
      <c r="L337" s="71"/>
    </row>
    <row r="338" ht="14.25" customHeight="1">
      <c r="L338" s="71"/>
    </row>
    <row r="339" ht="14.25" customHeight="1">
      <c r="L339" s="71"/>
    </row>
    <row r="340" ht="14.25" customHeight="1">
      <c r="L340" s="71"/>
    </row>
    <row r="341" ht="14.25" customHeight="1">
      <c r="L341" s="71"/>
    </row>
    <row r="342" ht="14.25" customHeight="1">
      <c r="L342" s="71"/>
    </row>
    <row r="343" ht="14.25" customHeight="1">
      <c r="L343" s="71"/>
    </row>
    <row r="344" ht="14.25" customHeight="1">
      <c r="L344" s="71"/>
    </row>
    <row r="345" ht="14.25" customHeight="1">
      <c r="L345" s="71"/>
    </row>
    <row r="346" ht="14.25" customHeight="1">
      <c r="L346" s="71"/>
    </row>
    <row r="347" ht="14.25" customHeight="1">
      <c r="L347" s="71"/>
    </row>
    <row r="348" ht="14.25" customHeight="1">
      <c r="L348" s="71"/>
    </row>
    <row r="349" ht="14.25" customHeight="1">
      <c r="L349" s="71"/>
    </row>
    <row r="350" ht="14.25" customHeight="1">
      <c r="L350" s="71"/>
    </row>
    <row r="351" ht="14.25" customHeight="1">
      <c r="L351" s="71"/>
    </row>
    <row r="352" ht="14.25" customHeight="1">
      <c r="L352" s="71"/>
    </row>
    <row r="353" ht="14.25" customHeight="1">
      <c r="L353" s="71"/>
    </row>
    <row r="354" ht="14.25" customHeight="1">
      <c r="L354" s="71"/>
    </row>
    <row r="355" ht="14.25" customHeight="1">
      <c r="L355" s="71"/>
    </row>
    <row r="356" ht="14.25" customHeight="1">
      <c r="L356" s="71"/>
    </row>
    <row r="357" ht="14.25" customHeight="1">
      <c r="L357" s="71"/>
    </row>
    <row r="358" ht="14.25" customHeight="1">
      <c r="L358" s="71"/>
    </row>
    <row r="359" ht="14.25" customHeight="1">
      <c r="L359" s="71"/>
    </row>
    <row r="360" ht="14.25" customHeight="1">
      <c r="L360" s="71"/>
    </row>
    <row r="361" ht="14.25" customHeight="1">
      <c r="L361" s="71"/>
    </row>
    <row r="362" ht="14.25" customHeight="1">
      <c r="L362" s="71"/>
    </row>
    <row r="363" ht="14.25" customHeight="1">
      <c r="L363" s="71"/>
    </row>
    <row r="364" ht="14.25" customHeight="1">
      <c r="L364" s="71"/>
    </row>
    <row r="365" ht="14.25" customHeight="1">
      <c r="L365" s="71"/>
    </row>
    <row r="366" ht="14.25" customHeight="1">
      <c r="L366" s="71"/>
    </row>
    <row r="367" ht="14.25" customHeight="1">
      <c r="L367" s="71"/>
    </row>
    <row r="368" ht="14.25" customHeight="1">
      <c r="L368" s="71"/>
    </row>
    <row r="369" ht="14.25" customHeight="1">
      <c r="L369" s="71"/>
    </row>
    <row r="370" ht="14.25" customHeight="1">
      <c r="L370" s="71"/>
    </row>
    <row r="371" ht="14.25" customHeight="1">
      <c r="L371" s="71"/>
    </row>
    <row r="372" ht="14.25" customHeight="1">
      <c r="L372" s="71"/>
    </row>
    <row r="373" ht="14.25" customHeight="1">
      <c r="L373" s="71"/>
    </row>
    <row r="374" ht="14.25" customHeight="1">
      <c r="L374" s="71"/>
    </row>
    <row r="375" ht="14.25" customHeight="1">
      <c r="L375" s="71"/>
    </row>
    <row r="376" ht="14.25" customHeight="1">
      <c r="L376" s="71"/>
    </row>
    <row r="377" ht="14.25" customHeight="1">
      <c r="L377" s="71"/>
    </row>
    <row r="378" ht="14.25" customHeight="1">
      <c r="L378" s="71"/>
    </row>
    <row r="379" ht="14.25" customHeight="1">
      <c r="L379" s="71"/>
    </row>
    <row r="380" ht="14.25" customHeight="1">
      <c r="L380" s="71"/>
    </row>
    <row r="381" ht="14.25" customHeight="1">
      <c r="L381" s="71"/>
    </row>
    <row r="382" ht="14.25" customHeight="1">
      <c r="L382" s="71"/>
    </row>
    <row r="383" ht="14.25" customHeight="1">
      <c r="L383" s="71"/>
    </row>
    <row r="384" ht="14.25" customHeight="1">
      <c r="L384" s="71"/>
    </row>
    <row r="385" ht="14.25" customHeight="1">
      <c r="L385" s="71"/>
    </row>
    <row r="386" ht="14.25" customHeight="1">
      <c r="L386" s="71"/>
    </row>
    <row r="387" ht="14.25" customHeight="1">
      <c r="L387" s="71"/>
    </row>
    <row r="388" ht="14.25" customHeight="1">
      <c r="L388" s="71"/>
    </row>
    <row r="389" ht="14.25" customHeight="1">
      <c r="L389" s="71"/>
    </row>
    <row r="390" ht="14.25" customHeight="1">
      <c r="L390" s="71"/>
    </row>
    <row r="391" ht="14.25" customHeight="1">
      <c r="L391" s="71"/>
    </row>
    <row r="392" ht="14.25" customHeight="1">
      <c r="L392" s="71"/>
    </row>
    <row r="393" ht="14.25" customHeight="1">
      <c r="L393" s="71"/>
    </row>
    <row r="394" ht="14.25" customHeight="1">
      <c r="L394" s="71"/>
    </row>
    <row r="395" ht="14.25" customHeight="1">
      <c r="L395" s="71"/>
    </row>
    <row r="396" ht="14.25" customHeight="1">
      <c r="L396" s="71"/>
    </row>
    <row r="397" ht="14.25" customHeight="1">
      <c r="L397" s="71"/>
    </row>
    <row r="398" ht="14.25" customHeight="1">
      <c r="L398" s="71"/>
    </row>
    <row r="399" ht="14.25" customHeight="1">
      <c r="L399" s="71"/>
    </row>
    <row r="400" ht="14.25" customHeight="1">
      <c r="L400" s="71"/>
    </row>
    <row r="401" ht="14.25" customHeight="1">
      <c r="L401" s="71"/>
    </row>
    <row r="402" ht="14.25" customHeight="1">
      <c r="L402" s="71"/>
    </row>
    <row r="403" ht="14.25" customHeight="1">
      <c r="L403" s="71"/>
    </row>
    <row r="404" ht="14.25" customHeight="1">
      <c r="L404" s="71"/>
    </row>
    <row r="405" ht="14.25" customHeight="1">
      <c r="L405" s="71"/>
    </row>
    <row r="406" ht="14.25" customHeight="1">
      <c r="L406" s="71"/>
    </row>
    <row r="407" ht="14.25" customHeight="1">
      <c r="L407" s="71"/>
    </row>
    <row r="408" ht="14.25" customHeight="1">
      <c r="L408" s="71"/>
    </row>
    <row r="409" ht="14.25" customHeight="1">
      <c r="L409" s="71"/>
    </row>
    <row r="410" ht="14.25" customHeight="1">
      <c r="L410" s="71"/>
    </row>
    <row r="411" ht="14.25" customHeight="1">
      <c r="L411" s="71"/>
    </row>
    <row r="412" ht="14.25" customHeight="1">
      <c r="L412" s="71"/>
    </row>
    <row r="413" ht="14.25" customHeight="1">
      <c r="L413" s="71"/>
    </row>
    <row r="414" ht="14.25" customHeight="1">
      <c r="L414" s="71"/>
    </row>
    <row r="415" ht="14.25" customHeight="1">
      <c r="L415" s="71"/>
    </row>
    <row r="416" ht="14.25" customHeight="1">
      <c r="L416" s="71"/>
    </row>
    <row r="417" ht="14.25" customHeight="1">
      <c r="L417" s="71"/>
    </row>
    <row r="418" ht="14.25" customHeight="1">
      <c r="L418" s="71"/>
    </row>
    <row r="419" ht="14.25" customHeight="1">
      <c r="L419" s="71"/>
    </row>
    <row r="420" ht="14.25" customHeight="1">
      <c r="L420" s="71"/>
    </row>
    <row r="421" ht="14.25" customHeight="1">
      <c r="L421" s="71"/>
    </row>
    <row r="422" ht="14.25" customHeight="1">
      <c r="L422" s="71"/>
    </row>
    <row r="423" ht="14.25" customHeight="1">
      <c r="L423" s="71"/>
    </row>
    <row r="424" ht="14.25" customHeight="1">
      <c r="L424" s="71"/>
    </row>
    <row r="425" ht="14.25" customHeight="1">
      <c r="L425" s="71"/>
    </row>
    <row r="426" ht="14.25" customHeight="1">
      <c r="L426" s="71"/>
    </row>
    <row r="427" ht="14.25" customHeight="1">
      <c r="L427" s="71"/>
    </row>
    <row r="428" ht="14.25" customHeight="1">
      <c r="L428" s="71"/>
    </row>
    <row r="429" ht="14.25" customHeight="1">
      <c r="L429" s="71"/>
    </row>
    <row r="430" ht="14.25" customHeight="1">
      <c r="L430" s="71"/>
    </row>
    <row r="431" ht="14.25" customHeight="1">
      <c r="L431" s="71"/>
    </row>
    <row r="432" ht="14.25" customHeight="1">
      <c r="L432" s="71"/>
    </row>
    <row r="433" ht="14.25" customHeight="1">
      <c r="L433" s="71"/>
    </row>
    <row r="434" ht="14.25" customHeight="1">
      <c r="L434" s="71"/>
    </row>
    <row r="435" ht="14.25" customHeight="1">
      <c r="L435" s="71"/>
    </row>
    <row r="436" ht="14.25" customHeight="1">
      <c r="L436" s="71"/>
    </row>
    <row r="437" ht="14.25" customHeight="1">
      <c r="L437" s="71"/>
    </row>
    <row r="438" ht="14.25" customHeight="1">
      <c r="L438" s="71"/>
    </row>
    <row r="439" ht="14.25" customHeight="1">
      <c r="L439" s="71"/>
    </row>
    <row r="440" ht="14.25" customHeight="1">
      <c r="L440" s="71"/>
    </row>
    <row r="441" ht="14.25" customHeight="1">
      <c r="L441" s="71"/>
    </row>
    <row r="442" ht="14.25" customHeight="1">
      <c r="L442" s="71"/>
    </row>
    <row r="443" ht="14.25" customHeight="1">
      <c r="L443" s="71"/>
    </row>
    <row r="444" ht="14.25" customHeight="1">
      <c r="L444" s="71"/>
    </row>
    <row r="445" ht="14.25" customHeight="1">
      <c r="L445" s="71"/>
    </row>
    <row r="446" ht="14.25" customHeight="1">
      <c r="L446" s="71"/>
    </row>
    <row r="447" ht="14.25" customHeight="1">
      <c r="L447" s="71"/>
    </row>
    <row r="448" ht="14.25" customHeight="1">
      <c r="L448" s="71"/>
    </row>
    <row r="449" ht="14.25" customHeight="1">
      <c r="L449" s="71"/>
    </row>
    <row r="450" ht="14.25" customHeight="1">
      <c r="L450" s="71"/>
    </row>
    <row r="451" ht="14.25" customHeight="1">
      <c r="L451" s="71"/>
    </row>
    <row r="452" ht="14.25" customHeight="1">
      <c r="L452" s="71"/>
    </row>
    <row r="453" ht="14.25" customHeight="1">
      <c r="L453" s="71"/>
    </row>
    <row r="454" ht="14.25" customHeight="1">
      <c r="L454" s="71"/>
    </row>
    <row r="455" ht="14.25" customHeight="1">
      <c r="L455" s="71"/>
    </row>
    <row r="456" ht="14.25" customHeight="1">
      <c r="L456" s="71"/>
    </row>
    <row r="457" ht="14.25" customHeight="1">
      <c r="L457" s="71"/>
    </row>
    <row r="458" ht="14.25" customHeight="1">
      <c r="L458" s="71"/>
    </row>
    <row r="459" ht="14.25" customHeight="1">
      <c r="L459" s="71"/>
    </row>
    <row r="460" ht="14.25" customHeight="1">
      <c r="L460" s="71"/>
    </row>
    <row r="461" ht="14.25" customHeight="1">
      <c r="L461" s="71"/>
    </row>
    <row r="462" ht="14.25" customHeight="1">
      <c r="L462" s="71"/>
    </row>
    <row r="463" ht="14.25" customHeight="1">
      <c r="L463" s="71"/>
    </row>
    <row r="464" ht="14.25" customHeight="1">
      <c r="L464" s="71"/>
    </row>
    <row r="465" ht="14.25" customHeight="1">
      <c r="L465" s="71"/>
    </row>
    <row r="466" ht="14.25" customHeight="1">
      <c r="L466" s="71"/>
    </row>
    <row r="467" ht="14.25" customHeight="1">
      <c r="L467" s="71"/>
    </row>
    <row r="468" ht="14.25" customHeight="1">
      <c r="L468" s="71"/>
    </row>
    <row r="469" ht="14.25" customHeight="1">
      <c r="L469" s="71"/>
    </row>
    <row r="470" ht="14.25" customHeight="1">
      <c r="L470" s="71"/>
    </row>
    <row r="471" ht="14.25" customHeight="1">
      <c r="L471" s="71"/>
    </row>
    <row r="472" ht="14.25" customHeight="1">
      <c r="L472" s="71"/>
    </row>
    <row r="473" ht="14.25" customHeight="1">
      <c r="L473" s="71"/>
    </row>
    <row r="474" ht="14.25" customHeight="1">
      <c r="L474" s="71"/>
    </row>
    <row r="475" ht="14.25" customHeight="1">
      <c r="L475" s="71"/>
    </row>
    <row r="476" ht="14.25" customHeight="1">
      <c r="L476" s="71"/>
    </row>
    <row r="477" ht="14.25" customHeight="1">
      <c r="L477" s="71"/>
    </row>
    <row r="478" ht="14.25" customHeight="1">
      <c r="L478" s="71"/>
    </row>
    <row r="479" ht="14.25" customHeight="1">
      <c r="L479" s="71"/>
    </row>
    <row r="480" ht="14.25" customHeight="1">
      <c r="L480" s="71"/>
    </row>
    <row r="481" ht="14.25" customHeight="1">
      <c r="L481" s="71"/>
    </row>
    <row r="482" ht="14.25" customHeight="1">
      <c r="L482" s="71"/>
    </row>
    <row r="483" ht="14.25" customHeight="1">
      <c r="L483" s="71"/>
    </row>
    <row r="484" ht="14.25" customHeight="1">
      <c r="L484" s="71"/>
    </row>
    <row r="485" ht="14.25" customHeight="1">
      <c r="L485" s="71"/>
    </row>
    <row r="486" ht="14.25" customHeight="1">
      <c r="L486" s="71"/>
    </row>
    <row r="487" ht="14.25" customHeight="1">
      <c r="L487" s="71"/>
    </row>
    <row r="488" ht="14.25" customHeight="1">
      <c r="L488" s="71"/>
    </row>
    <row r="489" ht="14.25" customHeight="1">
      <c r="L489" s="71"/>
    </row>
    <row r="490" ht="14.25" customHeight="1">
      <c r="L490" s="71"/>
    </row>
    <row r="491" ht="14.25" customHeight="1">
      <c r="L491" s="71"/>
    </row>
    <row r="492" ht="14.25" customHeight="1">
      <c r="L492" s="71"/>
    </row>
    <row r="493" ht="14.25" customHeight="1">
      <c r="L493" s="71"/>
    </row>
    <row r="494" ht="14.25" customHeight="1">
      <c r="L494" s="71"/>
    </row>
    <row r="495" ht="14.25" customHeight="1">
      <c r="L495" s="71"/>
    </row>
    <row r="496" ht="14.25" customHeight="1">
      <c r="L496" s="71"/>
    </row>
    <row r="497" ht="14.25" customHeight="1">
      <c r="L497" s="71"/>
    </row>
    <row r="498" ht="14.25" customHeight="1">
      <c r="L498" s="71"/>
    </row>
    <row r="499" ht="14.25" customHeight="1">
      <c r="L499" s="71"/>
    </row>
    <row r="500" ht="14.25" customHeight="1">
      <c r="L500" s="71"/>
    </row>
    <row r="501" ht="14.25" customHeight="1">
      <c r="L501" s="71"/>
    </row>
    <row r="502" ht="14.25" customHeight="1">
      <c r="L502" s="71"/>
    </row>
    <row r="503" ht="14.25" customHeight="1">
      <c r="L503" s="71"/>
    </row>
    <row r="504" ht="14.25" customHeight="1">
      <c r="L504" s="71"/>
    </row>
    <row r="505" ht="14.25" customHeight="1">
      <c r="L505" s="71"/>
    </row>
    <row r="506" ht="14.25" customHeight="1">
      <c r="L506" s="71"/>
    </row>
    <row r="507" ht="14.25" customHeight="1">
      <c r="L507" s="71"/>
    </row>
    <row r="508" ht="14.25" customHeight="1">
      <c r="L508" s="71"/>
    </row>
    <row r="509" ht="14.25" customHeight="1">
      <c r="L509" s="71"/>
    </row>
    <row r="510" ht="14.25" customHeight="1">
      <c r="L510" s="71"/>
    </row>
    <row r="511" ht="14.25" customHeight="1">
      <c r="L511" s="71"/>
    </row>
    <row r="512" ht="14.25" customHeight="1">
      <c r="L512" s="71"/>
    </row>
    <row r="513" ht="14.25" customHeight="1">
      <c r="L513" s="71"/>
    </row>
    <row r="514" ht="14.25" customHeight="1">
      <c r="L514" s="71"/>
    </row>
    <row r="515" ht="14.25" customHeight="1">
      <c r="L515" s="71"/>
    </row>
    <row r="516" ht="14.25" customHeight="1">
      <c r="L516" s="71"/>
    </row>
    <row r="517" ht="14.25" customHeight="1">
      <c r="L517" s="71"/>
    </row>
    <row r="518" ht="14.25" customHeight="1">
      <c r="L518" s="71"/>
    </row>
    <row r="519" ht="14.25" customHeight="1">
      <c r="L519" s="71"/>
    </row>
    <row r="520" ht="14.25" customHeight="1">
      <c r="L520" s="71"/>
    </row>
    <row r="521" ht="14.25" customHeight="1">
      <c r="L521" s="71"/>
    </row>
    <row r="522" ht="14.25" customHeight="1">
      <c r="L522" s="71"/>
    </row>
    <row r="523" ht="14.25" customHeight="1">
      <c r="L523" s="71"/>
    </row>
    <row r="524" ht="14.25" customHeight="1">
      <c r="L524" s="71"/>
    </row>
    <row r="525" ht="14.25" customHeight="1">
      <c r="L525" s="71"/>
    </row>
    <row r="526" ht="14.25" customHeight="1">
      <c r="L526" s="71"/>
    </row>
    <row r="527" ht="14.25" customHeight="1">
      <c r="L527" s="71"/>
    </row>
    <row r="528" ht="14.25" customHeight="1">
      <c r="L528" s="71"/>
    </row>
    <row r="529" ht="14.25" customHeight="1">
      <c r="L529" s="71"/>
    </row>
    <row r="530" ht="14.25" customHeight="1">
      <c r="L530" s="71"/>
    </row>
    <row r="531" ht="14.25" customHeight="1">
      <c r="L531" s="71"/>
    </row>
    <row r="532" ht="14.25" customHeight="1">
      <c r="L532" s="71"/>
    </row>
    <row r="533" ht="14.25" customHeight="1">
      <c r="L533" s="71"/>
    </row>
    <row r="534" ht="14.25" customHeight="1">
      <c r="L534" s="71"/>
    </row>
    <row r="535" ht="14.25" customHeight="1">
      <c r="L535" s="71"/>
    </row>
    <row r="536" ht="14.25" customHeight="1">
      <c r="L536" s="71"/>
    </row>
    <row r="537" ht="14.25" customHeight="1">
      <c r="L537" s="71"/>
    </row>
    <row r="538" ht="14.25" customHeight="1">
      <c r="L538" s="71"/>
    </row>
    <row r="539" ht="14.25" customHeight="1">
      <c r="L539" s="71"/>
    </row>
    <row r="540" ht="14.25" customHeight="1">
      <c r="L540" s="71"/>
    </row>
    <row r="541" ht="14.25" customHeight="1">
      <c r="L541" s="71"/>
    </row>
    <row r="542" ht="14.25" customHeight="1">
      <c r="L542" s="71"/>
    </row>
    <row r="543" ht="14.25" customHeight="1">
      <c r="L543" s="71"/>
    </row>
    <row r="544" ht="14.25" customHeight="1">
      <c r="L544" s="71"/>
    </row>
    <row r="545" ht="14.25" customHeight="1">
      <c r="L545" s="71"/>
    </row>
    <row r="546" ht="14.25" customHeight="1">
      <c r="L546" s="71"/>
    </row>
    <row r="547" ht="14.25" customHeight="1">
      <c r="L547" s="71"/>
    </row>
    <row r="548" ht="14.25" customHeight="1">
      <c r="L548" s="71"/>
    </row>
    <row r="549" ht="14.25" customHeight="1">
      <c r="L549" s="71"/>
    </row>
    <row r="550" ht="14.25" customHeight="1">
      <c r="L550" s="71"/>
    </row>
    <row r="551" ht="14.25" customHeight="1">
      <c r="L551" s="71"/>
    </row>
    <row r="552" ht="14.25" customHeight="1">
      <c r="L552" s="71"/>
    </row>
    <row r="553" ht="14.25" customHeight="1">
      <c r="L553" s="71"/>
    </row>
    <row r="554" ht="14.25" customHeight="1">
      <c r="L554" s="71"/>
    </row>
    <row r="555" ht="14.25" customHeight="1">
      <c r="L555" s="71"/>
    </row>
    <row r="556" ht="14.25" customHeight="1">
      <c r="L556" s="71"/>
    </row>
    <row r="557" ht="14.25" customHeight="1">
      <c r="L557" s="71"/>
    </row>
    <row r="558" ht="14.25" customHeight="1">
      <c r="L558" s="71"/>
    </row>
    <row r="559" ht="14.25" customHeight="1">
      <c r="L559" s="71"/>
    </row>
    <row r="560" ht="14.25" customHeight="1">
      <c r="L560" s="71"/>
    </row>
    <row r="561" ht="14.25" customHeight="1">
      <c r="L561" s="71"/>
    </row>
    <row r="562" ht="14.25" customHeight="1">
      <c r="L562" s="71"/>
    </row>
    <row r="563" ht="14.25" customHeight="1">
      <c r="L563" s="71"/>
    </row>
    <row r="564" ht="14.25" customHeight="1">
      <c r="L564" s="71"/>
    </row>
    <row r="565" ht="14.25" customHeight="1">
      <c r="L565" s="71"/>
    </row>
    <row r="566" ht="14.25" customHeight="1">
      <c r="L566" s="71"/>
    </row>
    <row r="567" ht="14.25" customHeight="1">
      <c r="L567" s="71"/>
    </row>
    <row r="568" ht="14.25" customHeight="1">
      <c r="L568" s="71"/>
    </row>
    <row r="569" ht="14.25" customHeight="1">
      <c r="L569" s="71"/>
    </row>
    <row r="570" ht="14.25" customHeight="1">
      <c r="L570" s="71"/>
    </row>
    <row r="571" ht="14.25" customHeight="1">
      <c r="L571" s="71"/>
    </row>
    <row r="572" ht="14.25" customHeight="1">
      <c r="L572" s="71"/>
    </row>
    <row r="573" ht="14.25" customHeight="1">
      <c r="L573" s="71"/>
    </row>
    <row r="574" ht="14.25" customHeight="1">
      <c r="L574" s="71"/>
    </row>
    <row r="575" ht="14.25" customHeight="1">
      <c r="L575" s="71"/>
    </row>
    <row r="576" ht="14.25" customHeight="1">
      <c r="L576" s="71"/>
    </row>
    <row r="577" ht="14.25" customHeight="1">
      <c r="L577" s="71"/>
    </row>
    <row r="578" ht="14.25" customHeight="1">
      <c r="L578" s="71"/>
    </row>
    <row r="579" ht="14.25" customHeight="1">
      <c r="L579" s="71"/>
    </row>
    <row r="580" ht="14.25" customHeight="1">
      <c r="L580" s="71"/>
    </row>
    <row r="581" ht="14.25" customHeight="1">
      <c r="L581" s="71"/>
    </row>
    <row r="582" ht="14.25" customHeight="1">
      <c r="L582" s="71"/>
    </row>
    <row r="583" ht="14.25" customHeight="1">
      <c r="L583" s="71"/>
    </row>
    <row r="584" ht="14.25" customHeight="1">
      <c r="L584" s="71"/>
    </row>
    <row r="585" ht="14.25" customHeight="1">
      <c r="L585" s="71"/>
    </row>
    <row r="586" ht="14.25" customHeight="1">
      <c r="L586" s="71"/>
    </row>
    <row r="587" ht="14.25" customHeight="1">
      <c r="L587" s="71"/>
    </row>
    <row r="588" ht="14.25" customHeight="1">
      <c r="L588" s="71"/>
    </row>
    <row r="589" ht="14.25" customHeight="1">
      <c r="L589" s="71"/>
    </row>
    <row r="590" ht="14.25" customHeight="1">
      <c r="L590" s="71"/>
    </row>
    <row r="591" ht="14.25" customHeight="1">
      <c r="L591" s="71"/>
    </row>
    <row r="592" ht="14.25" customHeight="1">
      <c r="L592" s="71"/>
    </row>
    <row r="593" ht="14.25" customHeight="1">
      <c r="L593" s="71"/>
    </row>
    <row r="594" ht="14.25" customHeight="1">
      <c r="L594" s="71"/>
    </row>
    <row r="595" ht="14.25" customHeight="1">
      <c r="L595" s="71"/>
    </row>
    <row r="596" ht="14.25" customHeight="1">
      <c r="L596" s="71"/>
    </row>
    <row r="597" ht="14.25" customHeight="1">
      <c r="L597" s="71"/>
    </row>
    <row r="598" ht="14.25" customHeight="1">
      <c r="L598" s="71"/>
    </row>
    <row r="599" ht="14.25" customHeight="1">
      <c r="L599" s="71"/>
    </row>
    <row r="600" ht="14.25" customHeight="1">
      <c r="L600" s="71"/>
    </row>
    <row r="601" ht="14.25" customHeight="1">
      <c r="L601" s="71"/>
    </row>
    <row r="602" ht="14.25" customHeight="1">
      <c r="L602" s="71"/>
    </row>
    <row r="603" ht="14.25" customHeight="1">
      <c r="L603" s="71"/>
    </row>
    <row r="604" ht="14.25" customHeight="1">
      <c r="L604" s="71"/>
    </row>
    <row r="605" ht="14.25" customHeight="1">
      <c r="L605" s="71"/>
    </row>
    <row r="606" ht="14.25" customHeight="1">
      <c r="L606" s="71"/>
    </row>
    <row r="607" ht="14.25" customHeight="1">
      <c r="L607" s="71"/>
    </row>
    <row r="608" ht="14.25" customHeight="1">
      <c r="L608" s="71"/>
    </row>
    <row r="609" ht="14.25" customHeight="1">
      <c r="L609" s="71"/>
    </row>
    <row r="610" ht="14.25" customHeight="1">
      <c r="L610" s="71"/>
    </row>
    <row r="611" ht="14.25" customHeight="1">
      <c r="L611" s="71"/>
    </row>
    <row r="612" ht="14.25" customHeight="1">
      <c r="L612" s="71"/>
    </row>
    <row r="613" ht="14.25" customHeight="1">
      <c r="L613" s="71"/>
    </row>
    <row r="614" ht="14.25" customHeight="1">
      <c r="L614" s="71"/>
    </row>
    <row r="615" ht="14.25" customHeight="1">
      <c r="L615" s="71"/>
    </row>
    <row r="616" ht="14.25" customHeight="1">
      <c r="L616" s="71"/>
    </row>
    <row r="617" ht="14.25" customHeight="1">
      <c r="L617" s="71"/>
    </row>
    <row r="618" ht="14.25" customHeight="1">
      <c r="L618" s="71"/>
    </row>
    <row r="619" ht="14.25" customHeight="1">
      <c r="L619" s="71"/>
    </row>
    <row r="620" ht="14.25" customHeight="1">
      <c r="L620" s="71"/>
    </row>
    <row r="621" ht="14.25" customHeight="1">
      <c r="L621" s="71"/>
    </row>
    <row r="622" ht="14.25" customHeight="1">
      <c r="L622" s="71"/>
    </row>
    <row r="623" ht="14.25" customHeight="1">
      <c r="L623" s="71"/>
    </row>
    <row r="624" ht="14.25" customHeight="1">
      <c r="L624" s="71"/>
    </row>
    <row r="625" ht="14.25" customHeight="1">
      <c r="L625" s="71"/>
    </row>
    <row r="626" ht="14.25" customHeight="1">
      <c r="L626" s="71"/>
    </row>
    <row r="627" ht="14.25" customHeight="1">
      <c r="L627" s="71"/>
    </row>
    <row r="628" ht="14.25" customHeight="1">
      <c r="L628" s="71"/>
    </row>
    <row r="629" ht="14.25" customHeight="1">
      <c r="L629" s="71"/>
    </row>
    <row r="630" ht="14.25" customHeight="1">
      <c r="L630" s="71"/>
    </row>
    <row r="631" ht="14.25" customHeight="1">
      <c r="L631" s="71"/>
    </row>
    <row r="632" ht="14.25" customHeight="1">
      <c r="L632" s="71"/>
    </row>
    <row r="633" ht="14.25" customHeight="1">
      <c r="L633" s="71"/>
    </row>
    <row r="634" ht="14.25" customHeight="1">
      <c r="L634" s="71"/>
    </row>
    <row r="635" ht="14.25" customHeight="1">
      <c r="L635" s="71"/>
    </row>
    <row r="636" ht="14.25" customHeight="1">
      <c r="L636" s="71"/>
    </row>
    <row r="637" ht="14.25" customHeight="1">
      <c r="L637" s="71"/>
    </row>
    <row r="638" ht="14.25" customHeight="1">
      <c r="L638" s="71"/>
    </row>
    <row r="639" ht="14.25" customHeight="1">
      <c r="L639" s="71"/>
    </row>
    <row r="640" ht="14.25" customHeight="1">
      <c r="L640" s="71"/>
    </row>
    <row r="641" ht="14.25" customHeight="1">
      <c r="L641" s="71"/>
    </row>
    <row r="642" ht="14.25" customHeight="1">
      <c r="L642" s="71"/>
    </row>
    <row r="643" ht="14.25" customHeight="1">
      <c r="L643" s="71"/>
    </row>
    <row r="644" ht="14.25" customHeight="1">
      <c r="L644" s="71"/>
    </row>
    <row r="645" ht="14.25" customHeight="1">
      <c r="L645" s="71"/>
    </row>
    <row r="646" ht="14.25" customHeight="1">
      <c r="L646" s="71"/>
    </row>
    <row r="647" ht="14.25" customHeight="1">
      <c r="L647" s="71"/>
    </row>
    <row r="648" ht="14.25" customHeight="1">
      <c r="L648" s="71"/>
    </row>
    <row r="649" ht="14.25" customHeight="1">
      <c r="L649" s="71"/>
    </row>
    <row r="650" ht="14.25" customHeight="1">
      <c r="L650" s="71"/>
    </row>
    <row r="651" ht="14.25" customHeight="1">
      <c r="L651" s="71"/>
    </row>
    <row r="652" ht="14.25" customHeight="1">
      <c r="L652" s="71"/>
    </row>
    <row r="653" ht="14.25" customHeight="1">
      <c r="L653" s="71"/>
    </row>
    <row r="654" ht="14.25" customHeight="1">
      <c r="L654" s="71"/>
    </row>
    <row r="655" ht="14.25" customHeight="1">
      <c r="L655" s="71"/>
    </row>
    <row r="656" ht="14.25" customHeight="1">
      <c r="L656" s="71"/>
    </row>
    <row r="657" ht="14.25" customHeight="1">
      <c r="L657" s="71"/>
    </row>
    <row r="658" ht="14.25" customHeight="1">
      <c r="L658" s="71"/>
    </row>
    <row r="659" ht="14.25" customHeight="1">
      <c r="L659" s="71"/>
    </row>
    <row r="660" ht="14.25" customHeight="1">
      <c r="L660" s="71"/>
    </row>
    <row r="661" ht="14.25" customHeight="1">
      <c r="L661" s="71"/>
    </row>
    <row r="662" ht="14.25" customHeight="1">
      <c r="L662" s="71"/>
    </row>
    <row r="663" ht="14.25" customHeight="1">
      <c r="L663" s="71"/>
    </row>
    <row r="664" ht="14.25" customHeight="1">
      <c r="L664" s="71"/>
    </row>
    <row r="665" ht="14.25" customHeight="1">
      <c r="L665" s="71"/>
    </row>
    <row r="666" ht="14.25" customHeight="1">
      <c r="L666" s="71"/>
    </row>
    <row r="667" ht="14.25" customHeight="1">
      <c r="L667" s="71"/>
    </row>
    <row r="668" ht="14.25" customHeight="1">
      <c r="L668" s="71"/>
    </row>
    <row r="669" ht="14.25" customHeight="1">
      <c r="L669" s="71"/>
    </row>
    <row r="670" ht="14.25" customHeight="1">
      <c r="L670" s="71"/>
    </row>
    <row r="671" ht="14.25" customHeight="1">
      <c r="L671" s="71"/>
    </row>
    <row r="672" ht="14.25" customHeight="1">
      <c r="L672" s="71"/>
    </row>
    <row r="673" ht="14.25" customHeight="1">
      <c r="L673" s="71"/>
    </row>
    <row r="674" ht="14.25" customHeight="1">
      <c r="L674" s="71"/>
    </row>
    <row r="675" ht="14.25" customHeight="1">
      <c r="L675" s="71"/>
    </row>
    <row r="676" ht="14.25" customHeight="1">
      <c r="L676" s="71"/>
    </row>
    <row r="677" ht="14.25" customHeight="1">
      <c r="L677" s="71"/>
    </row>
    <row r="678" ht="14.25" customHeight="1">
      <c r="L678" s="71"/>
    </row>
    <row r="679" ht="14.25" customHeight="1">
      <c r="L679" s="71"/>
    </row>
    <row r="680" ht="14.25" customHeight="1">
      <c r="L680" s="71"/>
    </row>
    <row r="681" ht="14.25" customHeight="1">
      <c r="L681" s="71"/>
    </row>
    <row r="682" ht="14.25" customHeight="1">
      <c r="L682" s="71"/>
    </row>
    <row r="683" ht="14.25" customHeight="1">
      <c r="L683" s="71"/>
    </row>
    <row r="684" ht="14.25" customHeight="1">
      <c r="L684" s="71"/>
    </row>
    <row r="685" ht="14.25" customHeight="1">
      <c r="L685" s="71"/>
    </row>
    <row r="686" ht="14.25" customHeight="1">
      <c r="L686" s="71"/>
    </row>
    <row r="687" ht="14.25" customHeight="1">
      <c r="L687" s="71"/>
    </row>
    <row r="688" ht="14.25" customHeight="1">
      <c r="L688" s="71"/>
    </row>
    <row r="689" ht="14.25" customHeight="1">
      <c r="L689" s="71"/>
    </row>
    <row r="690" ht="14.25" customHeight="1">
      <c r="L690" s="71"/>
    </row>
    <row r="691" ht="14.25" customHeight="1">
      <c r="L691" s="71"/>
    </row>
    <row r="692" ht="14.25" customHeight="1">
      <c r="L692" s="71"/>
    </row>
    <row r="693" ht="14.25" customHeight="1">
      <c r="L693" s="71"/>
    </row>
    <row r="694" ht="14.25" customHeight="1">
      <c r="L694" s="71"/>
    </row>
    <row r="695" ht="14.25" customHeight="1">
      <c r="L695" s="71"/>
    </row>
    <row r="696" ht="14.25" customHeight="1">
      <c r="L696" s="71"/>
    </row>
    <row r="697" ht="14.25" customHeight="1">
      <c r="L697" s="71"/>
    </row>
    <row r="698" ht="14.25" customHeight="1">
      <c r="L698" s="71"/>
    </row>
    <row r="699" ht="14.25" customHeight="1">
      <c r="L699" s="71"/>
    </row>
    <row r="700" ht="14.25" customHeight="1">
      <c r="L700" s="71"/>
    </row>
    <row r="701" ht="14.25" customHeight="1">
      <c r="L701" s="71"/>
    </row>
    <row r="702" ht="14.25" customHeight="1">
      <c r="L702" s="71"/>
    </row>
    <row r="703" ht="14.25" customHeight="1">
      <c r="L703" s="71"/>
    </row>
    <row r="704" ht="14.25" customHeight="1">
      <c r="L704" s="71"/>
    </row>
    <row r="705" ht="14.25" customHeight="1">
      <c r="L705" s="71"/>
    </row>
    <row r="706" ht="14.25" customHeight="1">
      <c r="L706" s="71"/>
    </row>
    <row r="707" ht="14.25" customHeight="1">
      <c r="L707" s="71"/>
    </row>
    <row r="708" ht="14.25" customHeight="1">
      <c r="L708" s="71"/>
    </row>
    <row r="709" ht="14.25" customHeight="1">
      <c r="L709" s="71"/>
    </row>
    <row r="710" ht="14.25" customHeight="1">
      <c r="L710" s="71"/>
    </row>
    <row r="711" ht="14.25" customHeight="1">
      <c r="L711" s="71"/>
    </row>
    <row r="712" ht="14.25" customHeight="1">
      <c r="L712" s="71"/>
    </row>
    <row r="713" ht="14.25" customHeight="1">
      <c r="L713" s="71"/>
    </row>
    <row r="714" ht="14.25" customHeight="1">
      <c r="L714" s="71"/>
    </row>
    <row r="715" ht="14.25" customHeight="1">
      <c r="L715" s="71"/>
    </row>
    <row r="716" ht="14.25" customHeight="1">
      <c r="L716" s="71"/>
    </row>
    <row r="717" ht="14.25" customHeight="1">
      <c r="L717" s="71"/>
    </row>
    <row r="718" ht="14.25" customHeight="1">
      <c r="L718" s="71"/>
    </row>
    <row r="719" ht="14.25" customHeight="1">
      <c r="L719" s="71"/>
    </row>
    <row r="720" ht="14.25" customHeight="1">
      <c r="L720" s="71"/>
    </row>
    <row r="721" ht="14.25" customHeight="1">
      <c r="L721" s="71"/>
    </row>
    <row r="722" ht="14.25" customHeight="1">
      <c r="L722" s="71"/>
    </row>
    <row r="723" ht="14.25" customHeight="1">
      <c r="L723" s="71"/>
    </row>
    <row r="724" ht="14.25" customHeight="1">
      <c r="L724" s="71"/>
    </row>
    <row r="725" ht="14.25" customHeight="1">
      <c r="L725" s="71"/>
    </row>
    <row r="726" ht="14.25" customHeight="1">
      <c r="L726" s="71"/>
    </row>
    <row r="727" ht="14.25" customHeight="1">
      <c r="L727" s="71"/>
    </row>
    <row r="728" ht="14.25" customHeight="1">
      <c r="L728" s="71"/>
    </row>
    <row r="729" ht="14.25" customHeight="1">
      <c r="L729" s="71"/>
    </row>
    <row r="730" ht="14.25" customHeight="1">
      <c r="L730" s="71"/>
    </row>
    <row r="731" ht="14.25" customHeight="1">
      <c r="L731" s="71"/>
    </row>
    <row r="732" ht="14.25" customHeight="1">
      <c r="L732" s="71"/>
    </row>
    <row r="733" ht="14.25" customHeight="1">
      <c r="L733" s="71"/>
    </row>
    <row r="734" ht="14.25" customHeight="1">
      <c r="L734" s="71"/>
    </row>
    <row r="735" ht="14.25" customHeight="1">
      <c r="L735" s="71"/>
    </row>
    <row r="736" ht="14.25" customHeight="1">
      <c r="L736" s="71"/>
    </row>
    <row r="737" ht="14.25" customHeight="1">
      <c r="L737" s="71"/>
    </row>
    <row r="738" ht="14.25" customHeight="1">
      <c r="L738" s="71"/>
    </row>
    <row r="739" ht="14.25" customHeight="1">
      <c r="L739" s="71"/>
    </row>
    <row r="740" ht="14.25" customHeight="1">
      <c r="L740" s="71"/>
    </row>
    <row r="741" ht="14.25" customHeight="1">
      <c r="L741" s="71"/>
    </row>
    <row r="742" ht="14.25" customHeight="1">
      <c r="L742" s="71"/>
    </row>
    <row r="743" ht="14.25" customHeight="1">
      <c r="L743" s="71"/>
    </row>
    <row r="744" ht="14.25" customHeight="1">
      <c r="L744" s="71"/>
    </row>
    <row r="745" ht="14.25" customHeight="1">
      <c r="L745" s="71"/>
    </row>
    <row r="746" ht="14.25" customHeight="1">
      <c r="L746" s="71"/>
    </row>
    <row r="747" ht="14.25" customHeight="1">
      <c r="L747" s="71"/>
    </row>
    <row r="748" ht="14.25" customHeight="1">
      <c r="L748" s="71"/>
    </row>
    <row r="749" ht="14.25" customHeight="1">
      <c r="L749" s="71"/>
    </row>
    <row r="750" ht="14.25" customHeight="1">
      <c r="L750" s="71"/>
    </row>
    <row r="751" ht="14.25" customHeight="1">
      <c r="L751" s="71"/>
    </row>
    <row r="752" ht="14.25" customHeight="1">
      <c r="L752" s="71"/>
    </row>
    <row r="753" ht="14.25" customHeight="1">
      <c r="L753" s="71"/>
    </row>
    <row r="754" ht="14.25" customHeight="1">
      <c r="L754" s="71"/>
    </row>
    <row r="755" ht="14.25" customHeight="1">
      <c r="L755" s="71"/>
    </row>
    <row r="756" ht="14.25" customHeight="1">
      <c r="L756" s="71"/>
    </row>
    <row r="757" ht="14.25" customHeight="1">
      <c r="L757" s="71"/>
    </row>
    <row r="758" ht="14.25" customHeight="1">
      <c r="L758" s="71"/>
    </row>
    <row r="759" ht="14.25" customHeight="1">
      <c r="L759" s="71"/>
    </row>
    <row r="760" ht="14.25" customHeight="1">
      <c r="L760" s="71"/>
    </row>
    <row r="761" ht="14.25" customHeight="1">
      <c r="L761" s="71"/>
    </row>
    <row r="762" ht="14.25" customHeight="1">
      <c r="L762" s="71"/>
    </row>
    <row r="763" ht="14.25" customHeight="1">
      <c r="L763" s="71"/>
    </row>
    <row r="764" ht="14.25" customHeight="1">
      <c r="L764" s="71"/>
    </row>
    <row r="765" ht="14.25" customHeight="1">
      <c r="L765" s="71"/>
    </row>
    <row r="766" ht="14.25" customHeight="1">
      <c r="L766" s="71"/>
    </row>
    <row r="767" ht="14.25" customHeight="1">
      <c r="L767" s="71"/>
    </row>
    <row r="768" ht="14.25" customHeight="1">
      <c r="L768" s="71"/>
    </row>
    <row r="769" ht="14.25" customHeight="1">
      <c r="L769" s="71"/>
    </row>
    <row r="770" ht="14.25" customHeight="1">
      <c r="L770" s="71"/>
    </row>
    <row r="771" ht="14.25" customHeight="1">
      <c r="L771" s="71"/>
    </row>
    <row r="772" ht="14.25" customHeight="1">
      <c r="L772" s="71"/>
    </row>
    <row r="773" ht="14.25" customHeight="1">
      <c r="L773" s="71"/>
    </row>
    <row r="774" ht="14.25" customHeight="1">
      <c r="L774" s="71"/>
    </row>
    <row r="775" ht="14.25" customHeight="1">
      <c r="L775" s="71"/>
    </row>
    <row r="776" ht="14.25" customHeight="1">
      <c r="L776" s="71"/>
    </row>
    <row r="777" ht="14.25" customHeight="1">
      <c r="L777" s="71"/>
    </row>
    <row r="778" ht="14.25" customHeight="1">
      <c r="L778" s="71"/>
    </row>
    <row r="779" ht="14.25" customHeight="1">
      <c r="L779" s="71"/>
    </row>
    <row r="780" ht="14.25" customHeight="1">
      <c r="L780" s="71"/>
    </row>
    <row r="781" ht="14.25" customHeight="1">
      <c r="L781" s="71"/>
    </row>
    <row r="782" ht="14.25" customHeight="1">
      <c r="L782" s="71"/>
    </row>
    <row r="783" ht="14.25" customHeight="1">
      <c r="L783" s="71"/>
    </row>
    <row r="784" ht="14.25" customHeight="1">
      <c r="L784" s="71"/>
    </row>
    <row r="785" ht="14.25" customHeight="1">
      <c r="L785" s="71"/>
    </row>
    <row r="786" ht="14.25" customHeight="1">
      <c r="L786" s="71"/>
    </row>
    <row r="787" ht="14.25" customHeight="1">
      <c r="L787" s="71"/>
    </row>
    <row r="788" ht="14.25" customHeight="1">
      <c r="L788" s="71"/>
    </row>
    <row r="789" ht="14.25" customHeight="1">
      <c r="L789" s="71"/>
    </row>
    <row r="790" ht="14.25" customHeight="1">
      <c r="L790" s="71"/>
    </row>
    <row r="791" ht="14.25" customHeight="1">
      <c r="L791" s="71"/>
    </row>
    <row r="792" ht="14.25" customHeight="1">
      <c r="L792" s="71"/>
    </row>
    <row r="793" ht="14.25" customHeight="1">
      <c r="L793" s="71"/>
    </row>
    <row r="794" ht="14.25" customHeight="1">
      <c r="L794" s="71"/>
    </row>
    <row r="795" ht="14.25" customHeight="1">
      <c r="L795" s="71"/>
    </row>
    <row r="796" ht="14.25" customHeight="1">
      <c r="L796" s="71"/>
    </row>
    <row r="797" ht="14.25" customHeight="1">
      <c r="L797" s="71"/>
    </row>
    <row r="798" ht="14.25" customHeight="1">
      <c r="L798" s="71"/>
    </row>
    <row r="799" ht="14.25" customHeight="1">
      <c r="L799" s="71"/>
    </row>
    <row r="800" ht="14.25" customHeight="1">
      <c r="L800" s="71"/>
    </row>
    <row r="801" ht="14.25" customHeight="1">
      <c r="L801" s="71"/>
    </row>
    <row r="802" ht="14.25" customHeight="1">
      <c r="L802" s="71"/>
    </row>
    <row r="803" ht="14.25" customHeight="1">
      <c r="L803" s="71"/>
    </row>
    <row r="804" ht="14.25" customHeight="1">
      <c r="L804" s="71"/>
    </row>
    <row r="805" ht="14.25" customHeight="1">
      <c r="L805" s="71"/>
    </row>
    <row r="806" ht="14.25" customHeight="1">
      <c r="L806" s="71"/>
    </row>
    <row r="807" ht="14.25" customHeight="1">
      <c r="L807" s="71"/>
    </row>
    <row r="808" ht="14.25" customHeight="1">
      <c r="L808" s="71"/>
    </row>
    <row r="809" ht="14.25" customHeight="1">
      <c r="L809" s="71"/>
    </row>
    <row r="810" ht="14.25" customHeight="1">
      <c r="L810" s="71"/>
    </row>
    <row r="811" ht="14.25" customHeight="1">
      <c r="L811" s="71"/>
    </row>
    <row r="812" ht="14.25" customHeight="1">
      <c r="L812" s="71"/>
    </row>
    <row r="813" ht="14.25" customHeight="1">
      <c r="L813" s="71"/>
    </row>
    <row r="814" ht="14.25" customHeight="1">
      <c r="L814" s="71"/>
    </row>
    <row r="815" ht="14.25" customHeight="1">
      <c r="L815" s="71"/>
    </row>
    <row r="816" ht="14.25" customHeight="1">
      <c r="L816" s="71"/>
    </row>
    <row r="817" ht="14.25" customHeight="1">
      <c r="L817" s="71"/>
    </row>
    <row r="818" ht="14.25" customHeight="1">
      <c r="L818" s="71"/>
    </row>
    <row r="819" ht="14.25" customHeight="1">
      <c r="L819" s="71"/>
    </row>
    <row r="820" ht="14.25" customHeight="1">
      <c r="L820" s="71"/>
    </row>
    <row r="821" ht="14.25" customHeight="1">
      <c r="L821" s="71"/>
    </row>
    <row r="822" ht="14.25" customHeight="1">
      <c r="L822" s="71"/>
    </row>
    <row r="823" ht="14.25" customHeight="1">
      <c r="L823" s="71"/>
    </row>
    <row r="824" ht="14.25" customHeight="1">
      <c r="L824" s="71"/>
    </row>
    <row r="825" ht="14.25" customHeight="1">
      <c r="L825" s="71"/>
    </row>
    <row r="826" ht="14.25" customHeight="1">
      <c r="L826" s="71"/>
    </row>
    <row r="827" ht="14.25" customHeight="1">
      <c r="L827" s="71"/>
    </row>
    <row r="828" ht="14.25" customHeight="1">
      <c r="L828" s="71"/>
    </row>
    <row r="829" ht="14.25" customHeight="1">
      <c r="L829" s="71"/>
    </row>
    <row r="830" ht="14.25" customHeight="1">
      <c r="L830" s="71"/>
    </row>
    <row r="831" ht="14.25" customHeight="1">
      <c r="L831" s="71"/>
    </row>
    <row r="832" ht="14.25" customHeight="1">
      <c r="L832" s="71"/>
    </row>
    <row r="833" ht="14.25" customHeight="1">
      <c r="L833" s="71"/>
    </row>
    <row r="834" ht="14.25" customHeight="1">
      <c r="L834" s="71"/>
    </row>
    <row r="835" ht="14.25" customHeight="1">
      <c r="L835" s="71"/>
    </row>
    <row r="836" ht="14.25" customHeight="1">
      <c r="L836" s="71"/>
    </row>
    <row r="837" ht="14.25" customHeight="1">
      <c r="L837" s="71"/>
    </row>
    <row r="838" ht="14.25" customHeight="1">
      <c r="L838" s="71"/>
    </row>
    <row r="839" ht="14.25" customHeight="1">
      <c r="L839" s="71"/>
    </row>
    <row r="840" ht="14.25" customHeight="1">
      <c r="L840" s="71"/>
    </row>
    <row r="841" ht="14.25" customHeight="1">
      <c r="L841" s="71"/>
    </row>
    <row r="842" ht="14.25" customHeight="1">
      <c r="L842" s="71"/>
    </row>
    <row r="843" ht="14.25" customHeight="1">
      <c r="L843" s="71"/>
    </row>
    <row r="844" ht="14.25" customHeight="1">
      <c r="L844" s="71"/>
    </row>
    <row r="845" ht="14.25" customHeight="1">
      <c r="L845" s="71"/>
    </row>
    <row r="846" ht="14.25" customHeight="1">
      <c r="L846" s="71"/>
    </row>
    <row r="847" ht="14.25" customHeight="1">
      <c r="L847" s="71"/>
    </row>
    <row r="848" ht="14.25" customHeight="1">
      <c r="L848" s="71"/>
    </row>
    <row r="849" ht="14.25" customHeight="1">
      <c r="L849" s="71"/>
    </row>
    <row r="850" ht="14.25" customHeight="1">
      <c r="L850" s="71"/>
    </row>
    <row r="851" ht="14.25" customHeight="1">
      <c r="L851" s="71"/>
    </row>
    <row r="852" ht="14.25" customHeight="1">
      <c r="L852" s="71"/>
    </row>
    <row r="853" ht="14.25" customHeight="1">
      <c r="L853" s="71"/>
    </row>
    <row r="854" ht="14.25" customHeight="1">
      <c r="L854" s="71"/>
    </row>
    <row r="855" ht="14.25" customHeight="1">
      <c r="L855" s="71"/>
    </row>
    <row r="856" ht="14.25" customHeight="1">
      <c r="L856" s="71"/>
    </row>
    <row r="857" ht="14.25" customHeight="1">
      <c r="L857" s="71"/>
    </row>
    <row r="858" ht="14.25" customHeight="1">
      <c r="L858" s="71"/>
    </row>
    <row r="859" ht="14.25" customHeight="1">
      <c r="L859" s="71"/>
    </row>
    <row r="860" ht="14.25" customHeight="1">
      <c r="L860" s="71"/>
    </row>
    <row r="861" ht="14.25" customHeight="1">
      <c r="L861" s="71"/>
    </row>
    <row r="862" ht="14.25" customHeight="1">
      <c r="L862" s="71"/>
    </row>
    <row r="863" ht="14.25" customHeight="1">
      <c r="L863" s="71"/>
    </row>
    <row r="864" ht="14.25" customHeight="1">
      <c r="L864" s="71"/>
    </row>
    <row r="865" ht="14.25" customHeight="1">
      <c r="L865" s="71"/>
    </row>
    <row r="866" ht="14.25" customHeight="1">
      <c r="L866" s="71"/>
    </row>
    <row r="867" ht="14.25" customHeight="1">
      <c r="L867" s="71"/>
    </row>
    <row r="868" ht="14.25" customHeight="1">
      <c r="L868" s="71"/>
    </row>
    <row r="869" ht="14.25" customHeight="1">
      <c r="L869" s="71"/>
    </row>
    <row r="870" ht="14.25" customHeight="1">
      <c r="L870" s="71"/>
    </row>
    <row r="871" ht="14.25" customHeight="1">
      <c r="L871" s="71"/>
    </row>
    <row r="872" ht="14.25" customHeight="1">
      <c r="L872" s="71"/>
    </row>
    <row r="873" ht="14.25" customHeight="1">
      <c r="L873" s="71"/>
    </row>
    <row r="874" ht="14.25" customHeight="1">
      <c r="L874" s="71"/>
    </row>
    <row r="875" ht="14.25" customHeight="1">
      <c r="L875" s="71"/>
    </row>
    <row r="876" ht="14.25" customHeight="1">
      <c r="L876" s="71"/>
    </row>
    <row r="877" ht="14.25" customHeight="1">
      <c r="L877" s="71"/>
    </row>
    <row r="878" ht="14.25" customHeight="1">
      <c r="L878" s="71"/>
    </row>
    <row r="879" ht="14.25" customHeight="1">
      <c r="L879" s="71"/>
    </row>
    <row r="880" ht="14.25" customHeight="1">
      <c r="L880" s="71"/>
    </row>
    <row r="881" ht="14.25" customHeight="1">
      <c r="L881" s="71"/>
    </row>
    <row r="882" ht="14.25" customHeight="1">
      <c r="L882" s="71"/>
    </row>
    <row r="883" ht="14.25" customHeight="1">
      <c r="L883" s="71"/>
    </row>
    <row r="884" ht="14.25" customHeight="1">
      <c r="L884" s="71"/>
    </row>
    <row r="885" ht="14.25" customHeight="1">
      <c r="L885" s="71"/>
    </row>
    <row r="886" ht="14.25" customHeight="1">
      <c r="L886" s="71"/>
    </row>
    <row r="887" ht="14.25" customHeight="1">
      <c r="L887" s="71"/>
    </row>
    <row r="888" ht="14.25" customHeight="1">
      <c r="L888" s="71"/>
    </row>
    <row r="889" ht="14.25" customHeight="1">
      <c r="L889" s="71"/>
    </row>
    <row r="890" ht="14.25" customHeight="1">
      <c r="L890" s="71"/>
    </row>
    <row r="891" ht="14.25" customHeight="1">
      <c r="L891" s="71"/>
    </row>
    <row r="892" ht="14.25" customHeight="1">
      <c r="L892" s="71"/>
    </row>
    <row r="893" ht="14.25" customHeight="1">
      <c r="L893" s="71"/>
    </row>
    <row r="894" ht="14.25" customHeight="1">
      <c r="L894" s="71"/>
    </row>
    <row r="895" ht="14.25" customHeight="1">
      <c r="L895" s="71"/>
    </row>
    <row r="896" ht="14.25" customHeight="1">
      <c r="L896" s="71"/>
    </row>
    <row r="897" ht="14.25" customHeight="1">
      <c r="L897" s="71"/>
    </row>
    <row r="898" ht="14.25" customHeight="1">
      <c r="L898" s="71"/>
    </row>
    <row r="899" ht="14.25" customHeight="1">
      <c r="L899" s="71"/>
    </row>
    <row r="900" ht="14.25" customHeight="1">
      <c r="L900" s="71"/>
    </row>
    <row r="901" ht="14.25" customHeight="1">
      <c r="L901" s="71"/>
    </row>
    <row r="902" ht="14.25" customHeight="1">
      <c r="L902" s="71"/>
    </row>
    <row r="903" ht="14.25" customHeight="1">
      <c r="L903" s="71"/>
    </row>
    <row r="904" ht="14.25" customHeight="1">
      <c r="L904" s="71"/>
    </row>
    <row r="905" ht="14.25" customHeight="1">
      <c r="L905" s="71"/>
    </row>
    <row r="906" ht="14.25" customHeight="1">
      <c r="L906" s="71"/>
    </row>
    <row r="907" ht="14.25" customHeight="1">
      <c r="L907" s="71"/>
    </row>
    <row r="908" ht="14.25" customHeight="1">
      <c r="L908" s="71"/>
    </row>
    <row r="909" ht="14.25" customHeight="1">
      <c r="L909" s="71"/>
    </row>
    <row r="910" ht="14.25" customHeight="1">
      <c r="L910" s="71"/>
    </row>
    <row r="911" ht="14.25" customHeight="1">
      <c r="L911" s="71"/>
    </row>
    <row r="912" ht="14.25" customHeight="1">
      <c r="L912" s="71"/>
    </row>
    <row r="913" ht="14.25" customHeight="1">
      <c r="L913" s="71"/>
    </row>
    <row r="914" ht="14.25" customHeight="1">
      <c r="L914" s="71"/>
    </row>
    <row r="915" ht="14.25" customHeight="1">
      <c r="L915" s="71"/>
    </row>
    <row r="916" ht="14.25" customHeight="1">
      <c r="L916" s="71"/>
    </row>
    <row r="917" ht="14.25" customHeight="1">
      <c r="L917" s="71"/>
    </row>
    <row r="918" ht="14.25" customHeight="1">
      <c r="L918" s="71"/>
    </row>
    <row r="919" ht="14.25" customHeight="1">
      <c r="L919" s="71"/>
    </row>
    <row r="920" ht="14.25" customHeight="1">
      <c r="L920" s="71"/>
    </row>
    <row r="921" ht="14.25" customHeight="1">
      <c r="L921" s="71"/>
    </row>
    <row r="922" ht="14.25" customHeight="1">
      <c r="L922" s="71"/>
    </row>
    <row r="923" ht="14.25" customHeight="1">
      <c r="L923" s="71"/>
    </row>
    <row r="924" ht="14.25" customHeight="1">
      <c r="L924" s="71"/>
    </row>
    <row r="925" ht="14.25" customHeight="1">
      <c r="L925" s="71"/>
    </row>
    <row r="926" ht="14.25" customHeight="1">
      <c r="L926" s="71"/>
    </row>
    <row r="927" ht="14.25" customHeight="1">
      <c r="L927" s="71"/>
    </row>
    <row r="928" ht="14.25" customHeight="1">
      <c r="L928" s="71"/>
    </row>
    <row r="929" ht="14.25" customHeight="1">
      <c r="L929" s="71"/>
    </row>
    <row r="930" ht="14.25" customHeight="1">
      <c r="L930" s="71"/>
    </row>
    <row r="931" ht="14.25" customHeight="1">
      <c r="L931" s="71"/>
    </row>
    <row r="932" ht="14.25" customHeight="1">
      <c r="L932" s="71"/>
    </row>
    <row r="933" ht="14.25" customHeight="1">
      <c r="L933" s="71"/>
    </row>
    <row r="934" ht="14.25" customHeight="1">
      <c r="L934" s="71"/>
    </row>
    <row r="935" ht="14.25" customHeight="1">
      <c r="L935" s="71"/>
    </row>
    <row r="936" ht="14.25" customHeight="1">
      <c r="L936" s="71"/>
    </row>
    <row r="937" ht="14.25" customHeight="1">
      <c r="L937" s="71"/>
    </row>
    <row r="938" ht="14.25" customHeight="1">
      <c r="L938" s="71"/>
    </row>
    <row r="939" ht="14.25" customHeight="1">
      <c r="L939" s="71"/>
    </row>
    <row r="940" ht="14.25" customHeight="1">
      <c r="L940" s="71"/>
    </row>
    <row r="941" ht="14.25" customHeight="1">
      <c r="L941" s="71"/>
    </row>
    <row r="942" ht="14.25" customHeight="1">
      <c r="L942" s="71"/>
    </row>
    <row r="943" ht="14.25" customHeight="1">
      <c r="L943" s="71"/>
    </row>
    <row r="944" ht="14.25" customHeight="1">
      <c r="L944" s="71"/>
    </row>
    <row r="945" ht="14.25" customHeight="1">
      <c r="L945" s="71"/>
    </row>
    <row r="946" ht="14.25" customHeight="1">
      <c r="L946" s="71"/>
    </row>
    <row r="947" ht="14.25" customHeight="1">
      <c r="L947" s="71"/>
    </row>
    <row r="948" ht="14.25" customHeight="1">
      <c r="L948" s="71"/>
    </row>
    <row r="949" ht="14.25" customHeight="1">
      <c r="L949" s="71"/>
    </row>
    <row r="950" ht="14.25" customHeight="1">
      <c r="L950" s="71"/>
    </row>
    <row r="951" ht="14.25" customHeight="1">
      <c r="L951" s="71"/>
    </row>
    <row r="952" ht="14.25" customHeight="1">
      <c r="L952" s="71"/>
    </row>
    <row r="953" ht="14.25" customHeight="1">
      <c r="L953" s="71"/>
    </row>
    <row r="954" ht="14.25" customHeight="1">
      <c r="L954" s="71"/>
    </row>
    <row r="955" ht="14.25" customHeight="1">
      <c r="L955" s="71"/>
    </row>
    <row r="956" ht="14.25" customHeight="1">
      <c r="L956" s="71"/>
    </row>
    <row r="957" ht="14.25" customHeight="1">
      <c r="L957" s="71"/>
    </row>
    <row r="958" ht="14.25" customHeight="1">
      <c r="L958" s="71"/>
    </row>
    <row r="959" ht="14.25" customHeight="1">
      <c r="L959" s="71"/>
    </row>
    <row r="960" ht="14.25" customHeight="1">
      <c r="L960" s="71"/>
    </row>
    <row r="961" ht="14.25" customHeight="1">
      <c r="L961" s="71"/>
    </row>
    <row r="962" ht="14.25" customHeight="1">
      <c r="L962" s="71"/>
    </row>
    <row r="963" ht="14.25" customHeight="1">
      <c r="L963" s="71"/>
    </row>
    <row r="964" ht="14.25" customHeight="1">
      <c r="L964" s="71"/>
    </row>
    <row r="965" ht="14.25" customHeight="1">
      <c r="L965" s="71"/>
    </row>
    <row r="966" ht="14.25" customHeight="1">
      <c r="L966" s="71"/>
    </row>
    <row r="967" ht="14.25" customHeight="1">
      <c r="L967" s="71"/>
    </row>
    <row r="968" ht="14.25" customHeight="1">
      <c r="L968" s="71"/>
    </row>
    <row r="969" ht="14.25" customHeight="1">
      <c r="L969" s="71"/>
    </row>
    <row r="970" ht="14.25" customHeight="1">
      <c r="L970" s="71"/>
    </row>
    <row r="971" ht="14.25" customHeight="1">
      <c r="L971" s="71"/>
    </row>
    <row r="972" ht="14.25" customHeight="1">
      <c r="L972" s="71"/>
    </row>
    <row r="973" ht="14.25" customHeight="1">
      <c r="L973" s="71"/>
    </row>
    <row r="974" ht="14.25" customHeight="1">
      <c r="L974" s="71"/>
    </row>
    <row r="975" ht="14.25" customHeight="1">
      <c r="L975" s="71"/>
    </row>
    <row r="976" ht="14.25" customHeight="1">
      <c r="L976" s="71"/>
    </row>
    <row r="977" ht="14.25" customHeight="1">
      <c r="L977" s="71"/>
    </row>
    <row r="978" ht="14.25" customHeight="1">
      <c r="L978" s="71"/>
    </row>
    <row r="979" ht="14.25" customHeight="1">
      <c r="L979" s="71"/>
    </row>
    <row r="980" ht="14.25" customHeight="1">
      <c r="L980" s="71"/>
    </row>
    <row r="981" ht="14.25" customHeight="1">
      <c r="L981" s="71"/>
    </row>
    <row r="982" ht="14.25" customHeight="1">
      <c r="L982" s="71"/>
    </row>
    <row r="983" ht="14.25" customHeight="1">
      <c r="L983" s="71"/>
    </row>
    <row r="984" ht="14.25" customHeight="1">
      <c r="L984" s="71"/>
    </row>
    <row r="985" ht="14.25" customHeight="1">
      <c r="L985" s="71"/>
    </row>
    <row r="986" ht="14.25" customHeight="1">
      <c r="L986" s="71"/>
    </row>
    <row r="987" ht="14.25" customHeight="1">
      <c r="L987" s="71"/>
    </row>
    <row r="988" ht="14.25" customHeight="1">
      <c r="L988" s="71"/>
    </row>
    <row r="989" ht="14.25" customHeight="1">
      <c r="L989" s="71"/>
    </row>
    <row r="990" ht="14.25" customHeight="1">
      <c r="L990" s="71"/>
    </row>
    <row r="991" ht="14.25" customHeight="1">
      <c r="L991" s="71"/>
    </row>
    <row r="992" ht="14.25" customHeight="1">
      <c r="L992" s="71"/>
    </row>
    <row r="993" ht="14.25" customHeight="1">
      <c r="L993" s="71"/>
    </row>
    <row r="994" ht="14.25" customHeight="1">
      <c r="L994" s="71"/>
    </row>
    <row r="995" ht="14.25" customHeight="1">
      <c r="L995" s="71"/>
    </row>
    <row r="996" ht="14.25" customHeight="1">
      <c r="L996" s="71"/>
    </row>
    <row r="997" ht="14.25" customHeight="1">
      <c r="L997" s="71"/>
    </row>
    <row r="998" ht="14.25" customHeight="1">
      <c r="L998" s="71"/>
    </row>
    <row r="999" ht="14.25" customHeight="1">
      <c r="L999" s="71"/>
    </row>
    <row r="1000" ht="14.25" customHeight="1"/>
  </sheetData>
  <conditionalFormatting sqref="J12">
    <cfRule type="cellIs" dxfId="0" priority="1" operator="notBetween">
      <formula>#REF!</formula>
      <formula>#REF!</formula>
    </cfRule>
  </conditionalFormatting>
  <conditionalFormatting sqref="J13">
    <cfRule type="cellIs" dxfId="0" priority="2" operator="notBetween">
      <formula>#REF!</formula>
      <formula>#REF!</formula>
    </cfRule>
  </conditionalFormatting>
  <conditionalFormatting sqref="J16">
    <cfRule type="cellIs" dxfId="0" priority="3" operator="notBetween">
      <formula>#REF!</formula>
      <formula>#REF!</formula>
    </cfRule>
  </conditionalFormatting>
  <conditionalFormatting sqref="J22:J25">
    <cfRule type="cellIs" dxfId="0" priority="4" operator="notBetween">
      <formula>#REF!</formula>
      <formula>#REF!</formula>
    </cfRule>
  </conditionalFormatting>
  <conditionalFormatting sqref="J26:J28">
    <cfRule type="cellIs" dxfId="0" priority="5" operator="notBetween">
      <formula>#REF!</formula>
      <formula>#REF!</formula>
    </cfRule>
  </conditionalFormatting>
  <conditionalFormatting sqref="J29">
    <cfRule type="cellIs" dxfId="0" priority="6" operator="notBetween">
      <formula>#REF!</formula>
      <formula>#REF!</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5.5"/>
    <col customWidth="1" min="3" max="4" width="10.63"/>
    <col customWidth="1" min="5" max="5" width="12.5"/>
    <col customWidth="1" min="6" max="6" width="56.75"/>
    <col customWidth="1" min="7" max="7" width="22.88"/>
    <col customWidth="1" min="8" max="8" width="13.0"/>
    <col customWidth="1" min="9" max="9" width="14.88"/>
    <col customWidth="1" min="10" max="10" width="10.63"/>
    <col customWidth="1" min="11" max="11" width="13.88"/>
    <col customWidth="1" min="12" max="12" width="14.88"/>
    <col customWidth="1" min="13" max="26" width="10.63"/>
  </cols>
  <sheetData>
    <row r="1" ht="14.25" customHeight="1">
      <c r="L1" s="71"/>
    </row>
    <row r="2" ht="14.25" customHeight="1">
      <c r="F2" s="72" t="s">
        <v>311</v>
      </c>
      <c r="L2" s="71"/>
    </row>
    <row r="3" ht="14.25" customHeight="1">
      <c r="L3" s="71"/>
    </row>
    <row r="4" ht="14.25" customHeight="1">
      <c r="F4" s="7" t="s">
        <v>312</v>
      </c>
      <c r="G4" s="73">
        <v>12000.0</v>
      </c>
      <c r="I4" s="74" t="s">
        <v>313</v>
      </c>
      <c r="J4" s="75"/>
      <c r="K4" s="71"/>
    </row>
    <row r="5" ht="14.25" customHeight="1">
      <c r="F5" s="7" t="s">
        <v>314</v>
      </c>
      <c r="G5" s="73">
        <v>-5000.0</v>
      </c>
      <c r="I5" s="74" t="s">
        <v>315</v>
      </c>
      <c r="J5" s="75"/>
      <c r="K5" s="71"/>
    </row>
    <row r="6" ht="14.25" customHeight="1">
      <c r="B6" s="7" t="s">
        <v>316</v>
      </c>
      <c r="C6" s="76">
        <v>8.0</v>
      </c>
      <c r="F6" s="77" t="s">
        <v>317</v>
      </c>
      <c r="G6" s="78">
        <f>+G4+G5</f>
        <v>7000</v>
      </c>
      <c r="H6" s="28"/>
      <c r="I6" s="74" t="s">
        <v>318</v>
      </c>
      <c r="J6" s="75"/>
      <c r="K6" s="71"/>
    </row>
    <row r="7" ht="14.25" customHeight="1">
      <c r="B7" s="7"/>
      <c r="C7" s="7"/>
      <c r="F7" s="7"/>
      <c r="G7" s="7"/>
      <c r="K7" s="71"/>
    </row>
    <row r="8" ht="14.25" customHeight="1">
      <c r="K8" s="71"/>
    </row>
    <row r="9" ht="14.25" customHeight="1">
      <c r="B9" s="7" t="s">
        <v>319</v>
      </c>
      <c r="C9" s="7" t="s">
        <v>320</v>
      </c>
      <c r="F9" s="79" t="s">
        <v>85</v>
      </c>
      <c r="G9" s="80">
        <f>+H9*$G$6</f>
        <v>4900</v>
      </c>
      <c r="H9" s="81">
        <f>+C11</f>
        <v>0.7</v>
      </c>
      <c r="K9" s="71"/>
    </row>
    <row r="10" ht="14.25" customHeight="1">
      <c r="G10" s="82"/>
      <c r="K10" s="71"/>
    </row>
    <row r="11" ht="14.25" customHeight="1">
      <c r="B11" s="83" t="s">
        <v>85</v>
      </c>
      <c r="C11" s="84">
        <f>+LOOKUP($C$6,'Pesos Cartera K Geográfica'!$C$4:$L$4,'Pesos Cartera K Geográfica'!C18:L18)</f>
        <v>0.7</v>
      </c>
      <c r="F11" s="7"/>
      <c r="G11" s="24" t="s">
        <v>321</v>
      </c>
      <c r="H11" s="85" t="s">
        <v>322</v>
      </c>
      <c r="I11" s="24" t="s">
        <v>323</v>
      </c>
      <c r="J11" s="24" t="s">
        <v>324</v>
      </c>
      <c r="K11" s="24" t="s">
        <v>325</v>
      </c>
      <c r="L11" s="86" t="s">
        <v>326</v>
      </c>
    </row>
    <row r="12" ht="14.25" customHeight="1">
      <c r="B12" s="87" t="s">
        <v>137</v>
      </c>
      <c r="C12" s="88">
        <f>+LOOKUP($C$6,'Pesos Cartera K Geográfica'!$C$4:$L$4,'Pesos Cartera K Geográfica'!C30:L30)</f>
        <v>0.651</v>
      </c>
      <c r="F12" s="29" t="s">
        <v>186</v>
      </c>
      <c r="G12" s="29" t="s">
        <v>327</v>
      </c>
      <c r="H12" s="89">
        <v>9000.0</v>
      </c>
      <c r="I12" s="28">
        <f>C11</f>
        <v>0.7</v>
      </c>
      <c r="J12" s="33">
        <f>+H12/$G$6</f>
        <v>1.285714286</v>
      </c>
      <c r="K12" s="90">
        <f>+I12*$G$6</f>
        <v>4900</v>
      </c>
      <c r="L12" s="71">
        <f>+K12-H12</f>
        <v>-4100</v>
      </c>
    </row>
    <row r="13" ht="14.25" customHeight="1">
      <c r="B13" s="91" t="s">
        <v>328</v>
      </c>
      <c r="C13" s="92">
        <f>+LOOKUP($C$6,'Pesos Cartera K Geográfica'!$C$4:$L$4,'Pesos Cartera K Geográfica'!C31:L31)</f>
        <v>0.049</v>
      </c>
      <c r="F13" s="79" t="s">
        <v>329</v>
      </c>
      <c r="G13" s="79"/>
      <c r="H13" s="79">
        <f>SUM(H11:H12)</f>
        <v>9000</v>
      </c>
      <c r="I13" s="159">
        <f t="shared" ref="I13:L13" si="1">SUM(I12)</f>
        <v>0.7</v>
      </c>
      <c r="J13" s="160">
        <f t="shared" si="1"/>
        <v>1.285714286</v>
      </c>
      <c r="K13" s="161">
        <f t="shared" si="1"/>
        <v>4900</v>
      </c>
      <c r="L13" s="162">
        <f t="shared" si="1"/>
        <v>-4100</v>
      </c>
    </row>
    <row r="14" ht="14.25" customHeight="1"/>
    <row r="15" ht="14.25" customHeight="1"/>
    <row r="16" ht="14.25" customHeight="1">
      <c r="H16" s="82"/>
      <c r="K16" s="12" t="s">
        <v>330</v>
      </c>
      <c r="L16" s="71"/>
    </row>
    <row r="17" ht="14.25" customHeight="1">
      <c r="B17" s="101" t="s">
        <v>331</v>
      </c>
      <c r="C17" s="102">
        <f>+LOOKUP($C$6,'Pesos Cartera K Sectorial'!$C$10:$L$10,'Pesos Cartera K Sectorial'!C25:L25)</f>
        <v>0.1</v>
      </c>
      <c r="G17" s="40" t="s">
        <v>331</v>
      </c>
      <c r="H17" s="103">
        <f>+I17*$G$6</f>
        <v>700</v>
      </c>
      <c r="I17" s="104">
        <f>+C17</f>
        <v>0.1</v>
      </c>
    </row>
    <row r="18" ht="14.25" customHeight="1">
      <c r="L18" s="71"/>
    </row>
    <row r="19" ht="14.25" customHeight="1">
      <c r="F19" s="7"/>
      <c r="G19" s="24" t="s">
        <v>332</v>
      </c>
      <c r="H19" s="105" t="s">
        <v>322</v>
      </c>
      <c r="I19" s="24" t="s">
        <v>323</v>
      </c>
      <c r="J19" s="24" t="s">
        <v>324</v>
      </c>
      <c r="K19" s="24" t="s">
        <v>325</v>
      </c>
      <c r="L19" s="86" t="s">
        <v>326</v>
      </c>
    </row>
    <row r="20" ht="14.25" customHeight="1">
      <c r="B20" s="106" t="s">
        <v>333</v>
      </c>
      <c r="C20" s="107">
        <f>+LOOKUP($C$6,'Pesos Cartera K Sectorial'!$C$10:$L$10,'Pesos Cartera K Sectorial'!C53:L53)</f>
        <v>0.1</v>
      </c>
      <c r="E20" s="106" t="s">
        <v>334</v>
      </c>
      <c r="F20" s="106"/>
      <c r="G20" s="106" t="s">
        <v>333</v>
      </c>
      <c r="H20" s="108">
        <f t="shared" ref="H20:J20" si="2">SUM(H21:H23)</f>
        <v>500</v>
      </c>
      <c r="I20" s="109">
        <f t="shared" si="2"/>
        <v>0.1</v>
      </c>
      <c r="J20" s="109">
        <f t="shared" si="2"/>
        <v>0.07142857143</v>
      </c>
      <c r="K20" s="106">
        <f t="shared" ref="K20:K23" si="3">+I20*$G$6</f>
        <v>700</v>
      </c>
      <c r="L20" s="108">
        <f t="shared" ref="L20:L23" si="4">+K20-H20</f>
        <v>200</v>
      </c>
    </row>
    <row r="21" ht="14.25" customHeight="1">
      <c r="B21" s="110" t="s">
        <v>130</v>
      </c>
      <c r="C21" s="111">
        <v>0.07</v>
      </c>
      <c r="E21" s="112">
        <v>10.12</v>
      </c>
      <c r="F21" s="113" t="s">
        <v>237</v>
      </c>
      <c r="G21" s="113" t="s">
        <v>130</v>
      </c>
      <c r="H21" s="163">
        <v>500.0</v>
      </c>
      <c r="I21" s="115">
        <f t="shared" ref="I21:I23" si="5">+C21</f>
        <v>0.07</v>
      </c>
      <c r="J21" s="115">
        <f t="shared" ref="J21:J23" si="6">+H21/$G$6</f>
        <v>0.07142857143</v>
      </c>
      <c r="K21" s="116">
        <f t="shared" si="3"/>
        <v>490</v>
      </c>
      <c r="L21" s="116">
        <f t="shared" si="4"/>
        <v>-10</v>
      </c>
    </row>
    <row r="22" ht="14.25" customHeight="1">
      <c r="B22" s="117" t="s">
        <v>134</v>
      </c>
      <c r="C22" s="118">
        <v>0.03</v>
      </c>
      <c r="E22" s="119">
        <v>6.84</v>
      </c>
      <c r="F22" s="120" t="s">
        <v>229</v>
      </c>
      <c r="G22" s="120" t="s">
        <v>134</v>
      </c>
      <c r="H22" s="112">
        <v>0.0</v>
      </c>
      <c r="I22" s="121">
        <f t="shared" si="5"/>
        <v>0.03</v>
      </c>
      <c r="J22" s="121">
        <f t="shared" si="6"/>
        <v>0</v>
      </c>
      <c r="K22" s="122">
        <f t="shared" si="3"/>
        <v>210</v>
      </c>
      <c r="L22" s="122">
        <f t="shared" si="4"/>
        <v>210</v>
      </c>
    </row>
    <row r="23" ht="14.25" customHeight="1">
      <c r="B23" s="123" t="s">
        <v>138</v>
      </c>
      <c r="C23" s="164">
        <v>0.0</v>
      </c>
      <c r="E23" s="165">
        <v>1.88</v>
      </c>
      <c r="F23" s="125" t="s">
        <v>258</v>
      </c>
      <c r="G23" s="125" t="s">
        <v>138</v>
      </c>
      <c r="H23" s="126"/>
      <c r="I23" s="127">
        <f t="shared" si="5"/>
        <v>0</v>
      </c>
      <c r="J23" s="127">
        <f t="shared" si="6"/>
        <v>0</v>
      </c>
      <c r="K23" s="128">
        <f t="shared" si="3"/>
        <v>0</v>
      </c>
      <c r="L23" s="128">
        <f t="shared" si="4"/>
        <v>0</v>
      </c>
    </row>
    <row r="24" ht="14.25" customHeight="1">
      <c r="B24" s="129"/>
      <c r="C24" s="129"/>
      <c r="H24" s="130"/>
      <c r="K24" s="131"/>
      <c r="L24" s="71"/>
    </row>
    <row r="25" ht="14.25" customHeight="1">
      <c r="B25" s="106" t="s">
        <v>149</v>
      </c>
      <c r="C25" s="107">
        <f>+LOOKUP($C$6,'Pesos Cartera K Sectorial'!$C$10:$L$10,'Pesos Cartera K Sectorial'!C54:L54)</f>
        <v>0</v>
      </c>
      <c r="E25" s="133">
        <v>6.5</v>
      </c>
      <c r="G25" s="133" t="s">
        <v>149</v>
      </c>
      <c r="H25" s="134"/>
      <c r="I25" s="135">
        <f t="shared" ref="I25:I26" si="7">+C25</f>
        <v>0</v>
      </c>
      <c r="J25" s="115">
        <f t="shared" ref="J25:J27" si="8">+H25/$G$6</f>
        <v>0</v>
      </c>
      <c r="K25" s="136">
        <f t="shared" ref="K25:K27" si="9">+I25*$G$6</f>
        <v>0</v>
      </c>
      <c r="L25" s="136">
        <f t="shared" ref="L25:L27" si="10">+K25-H25</f>
        <v>0</v>
      </c>
    </row>
    <row r="26" ht="14.25" customHeight="1">
      <c r="B26" s="106" t="s">
        <v>335</v>
      </c>
      <c r="C26" s="107">
        <f>+LOOKUP($C$6,'Pesos Cartera K Sectorial'!$C$10:$L$10,'Pesos Cartera K Sectorial'!C55:L55)</f>
        <v>0</v>
      </c>
      <c r="E26" s="133">
        <v>6.0</v>
      </c>
      <c r="G26" s="133" t="s">
        <v>335</v>
      </c>
      <c r="H26" s="137">
        <v>0.0</v>
      </c>
      <c r="I26" s="135">
        <f t="shared" si="7"/>
        <v>0</v>
      </c>
      <c r="J26" s="138">
        <f t="shared" si="8"/>
        <v>0</v>
      </c>
      <c r="K26" s="136">
        <f t="shared" si="9"/>
        <v>0</v>
      </c>
      <c r="L26" s="136">
        <f t="shared" si="10"/>
        <v>0</v>
      </c>
    </row>
    <row r="27" ht="14.25" customHeight="1">
      <c r="E27" s="139">
        <f>+(E21*C21+E22*C22+E23*C23+E25*C25+E26*C26)/C17</f>
        <v>9.136</v>
      </c>
      <c r="F27" s="140" t="s">
        <v>336</v>
      </c>
      <c r="G27" s="141"/>
      <c r="H27" s="142">
        <f>+H20+H25+H26</f>
        <v>500</v>
      </c>
      <c r="I27" s="143">
        <f>+I17</f>
        <v>0.1</v>
      </c>
      <c r="J27" s="144">
        <f t="shared" si="8"/>
        <v>0.07142857143</v>
      </c>
      <c r="K27" s="145">
        <f t="shared" si="9"/>
        <v>700</v>
      </c>
      <c r="L27" s="146">
        <f t="shared" si="10"/>
        <v>200</v>
      </c>
    </row>
    <row r="28" ht="14.25" customHeight="1">
      <c r="K28" s="131"/>
      <c r="L28" s="71"/>
    </row>
    <row r="29" ht="14.25" customHeight="1">
      <c r="B29" s="147" t="s">
        <v>337</v>
      </c>
      <c r="C29" s="148">
        <f>+LOOKUP($C$6,'Pesos Cartera K Sectorial'!$C$10:$L$10,'Pesos Cartera K Sectorial'!C26:L26)</f>
        <v>0.2</v>
      </c>
      <c r="G29" s="149" t="s">
        <v>337</v>
      </c>
      <c r="H29" s="150">
        <f>+I29*$G$6</f>
        <v>1400</v>
      </c>
      <c r="I29" s="151">
        <f>+C29</f>
        <v>0.2</v>
      </c>
      <c r="K29" s="131"/>
      <c r="L29" s="71"/>
    </row>
    <row r="30" ht="14.25" customHeight="1">
      <c r="K30" s="131"/>
      <c r="L30" s="71"/>
    </row>
    <row r="31" ht="14.25" customHeight="1">
      <c r="F31" s="7"/>
      <c r="G31" s="24" t="s">
        <v>338</v>
      </c>
      <c r="H31" s="85" t="s">
        <v>322</v>
      </c>
      <c r="I31" s="24" t="s">
        <v>323</v>
      </c>
      <c r="J31" s="24" t="s">
        <v>324</v>
      </c>
      <c r="K31" s="24" t="s">
        <v>325</v>
      </c>
      <c r="L31" s="86" t="s">
        <v>326</v>
      </c>
    </row>
    <row r="32" ht="14.25" customHeight="1">
      <c r="F32" s="149" t="s">
        <v>305</v>
      </c>
      <c r="G32" s="149" t="s">
        <v>337</v>
      </c>
      <c r="H32" s="152">
        <v>2500.0</v>
      </c>
      <c r="I32" s="151">
        <f>+I29</f>
        <v>0.2</v>
      </c>
      <c r="J32" s="151">
        <f>+H32/$G$6</f>
        <v>0.3571428571</v>
      </c>
      <c r="K32" s="90">
        <f>+I32*$G$6</f>
        <v>1400</v>
      </c>
      <c r="L32" s="71">
        <f>+K32-H32</f>
        <v>-1100</v>
      </c>
    </row>
    <row r="33" ht="14.25" customHeight="1">
      <c r="H33" s="153"/>
      <c r="L33" s="71"/>
    </row>
    <row r="34" ht="14.25" customHeight="1">
      <c r="G34" s="154" t="s">
        <v>340</v>
      </c>
      <c r="H34" s="155">
        <f>+H32+H27+H13</f>
        <v>12000</v>
      </c>
      <c r="I34" s="154"/>
      <c r="J34" s="154"/>
      <c r="K34" s="155">
        <f>+K32+K27+K13</f>
        <v>7000</v>
      </c>
      <c r="L34" s="156">
        <f>+K34-H34</f>
        <v>-5000</v>
      </c>
    </row>
    <row r="35" ht="14.25" customHeight="1">
      <c r="L35" s="71"/>
    </row>
    <row r="36" ht="14.25" customHeight="1">
      <c r="L36" s="71"/>
    </row>
    <row r="37" ht="14.25" customHeight="1">
      <c r="L37" s="71"/>
    </row>
    <row r="38" ht="14.25" customHeight="1">
      <c r="L38" s="71"/>
    </row>
    <row r="39" ht="14.25" customHeight="1">
      <c r="L39" s="71"/>
    </row>
    <row r="40" ht="14.25" customHeight="1">
      <c r="F40" s="7" t="s">
        <v>341</v>
      </c>
      <c r="G40" s="7"/>
      <c r="L40" s="71"/>
    </row>
    <row r="41" ht="14.25" customHeight="1">
      <c r="F41" s="24" t="s">
        <v>76</v>
      </c>
      <c r="G41" s="24" t="s">
        <v>342</v>
      </c>
      <c r="H41" s="24" t="s">
        <v>338</v>
      </c>
      <c r="I41" s="24" t="s">
        <v>322</v>
      </c>
      <c r="J41" s="24" t="s">
        <v>77</v>
      </c>
      <c r="L41" s="71"/>
    </row>
    <row r="42" ht="14.25" customHeight="1">
      <c r="F42" s="157" t="s">
        <v>343</v>
      </c>
      <c r="G42" s="157" t="s">
        <v>344</v>
      </c>
      <c r="H42" s="12" t="s">
        <v>345</v>
      </c>
      <c r="I42" s="82">
        <v>0.0</v>
      </c>
      <c r="J42" s="33">
        <v>6.0E-4</v>
      </c>
      <c r="L42" s="71"/>
    </row>
    <row r="43" ht="14.25" customHeight="1">
      <c r="L43" s="71"/>
    </row>
    <row r="44" ht="14.25" customHeight="1">
      <c r="L44" s="71"/>
    </row>
    <row r="45" ht="14.25" customHeight="1">
      <c r="L45" s="71"/>
    </row>
    <row r="46" ht="14.25" customHeight="1">
      <c r="L46" s="71"/>
    </row>
    <row r="47" ht="14.25" customHeight="1">
      <c r="L47" s="71"/>
    </row>
    <row r="48" ht="14.25" customHeight="1">
      <c r="L48" s="71"/>
    </row>
    <row r="49" ht="14.25" customHeight="1">
      <c r="L49" s="158"/>
    </row>
    <row r="50" ht="14.25" customHeight="1">
      <c r="L50" s="71"/>
    </row>
    <row r="51" ht="14.25" customHeight="1">
      <c r="L51" s="71"/>
    </row>
    <row r="52" ht="14.25" customHeight="1">
      <c r="L52" s="71"/>
    </row>
    <row r="53" ht="14.25" customHeight="1">
      <c r="L53" s="71"/>
    </row>
    <row r="54" ht="14.25" customHeight="1">
      <c r="L54" s="71"/>
    </row>
    <row r="55" ht="14.25" customHeight="1">
      <c r="L55" s="71"/>
    </row>
    <row r="56" ht="14.25" customHeight="1">
      <c r="L56" s="71"/>
    </row>
    <row r="57" ht="14.25" customHeight="1">
      <c r="L57" s="71"/>
    </row>
    <row r="58" ht="14.25" customHeight="1">
      <c r="L58" s="71"/>
    </row>
    <row r="59" ht="14.25" customHeight="1">
      <c r="L59" s="71"/>
    </row>
    <row r="60" ht="14.25" customHeight="1">
      <c r="L60" s="71"/>
    </row>
    <row r="61" ht="14.25" customHeight="1">
      <c r="L61" s="71"/>
    </row>
    <row r="62" ht="14.25" customHeight="1">
      <c r="L62" s="71"/>
    </row>
    <row r="63" ht="14.25" customHeight="1">
      <c r="L63" s="71"/>
    </row>
    <row r="64" ht="14.25" customHeight="1">
      <c r="L64" s="71"/>
    </row>
    <row r="65" ht="14.25" customHeight="1">
      <c r="L65" s="71"/>
    </row>
    <row r="66" ht="14.25" customHeight="1">
      <c r="L66" s="71"/>
    </row>
    <row r="67" ht="14.25" customHeight="1">
      <c r="L67" s="71"/>
    </row>
    <row r="68" ht="14.25" customHeight="1">
      <c r="L68" s="71"/>
    </row>
    <row r="69" ht="14.25" customHeight="1">
      <c r="L69" s="71"/>
    </row>
    <row r="70" ht="14.25" customHeight="1">
      <c r="L70" s="71"/>
    </row>
    <row r="71" ht="14.25" customHeight="1">
      <c r="L71" s="71"/>
    </row>
    <row r="72" ht="14.25" customHeight="1">
      <c r="L72" s="71"/>
    </row>
    <row r="73" ht="14.25" customHeight="1">
      <c r="L73" s="71"/>
    </row>
    <row r="74" ht="14.25" customHeight="1">
      <c r="L74" s="71"/>
    </row>
    <row r="75" ht="14.25" customHeight="1">
      <c r="L75" s="71"/>
    </row>
    <row r="76" ht="14.25" customHeight="1">
      <c r="L76" s="71"/>
    </row>
    <row r="77" ht="14.25" customHeight="1">
      <c r="L77" s="71"/>
    </row>
    <row r="78" ht="14.25" customHeight="1">
      <c r="L78" s="71"/>
    </row>
    <row r="79" ht="14.25" customHeight="1">
      <c r="L79" s="71"/>
    </row>
    <row r="80" ht="14.25" customHeight="1">
      <c r="L80" s="71"/>
    </row>
    <row r="81" ht="14.25" customHeight="1">
      <c r="L81" s="71"/>
    </row>
    <row r="82" ht="14.25" customHeight="1">
      <c r="L82" s="71"/>
    </row>
    <row r="83" ht="14.25" customHeight="1">
      <c r="L83" s="71"/>
    </row>
    <row r="84" ht="14.25" customHeight="1">
      <c r="L84" s="71"/>
    </row>
    <row r="85" ht="14.25" customHeight="1">
      <c r="L85" s="71"/>
    </row>
    <row r="86" ht="14.25" customHeight="1">
      <c r="L86" s="71"/>
    </row>
    <row r="87" ht="14.25" customHeight="1">
      <c r="L87" s="71"/>
    </row>
    <row r="88" ht="14.25" customHeight="1">
      <c r="L88" s="71"/>
    </row>
    <row r="89" ht="14.25" customHeight="1">
      <c r="L89" s="71"/>
    </row>
    <row r="90" ht="14.25" customHeight="1">
      <c r="L90" s="71"/>
    </row>
    <row r="91" ht="14.25" customHeight="1">
      <c r="L91" s="71"/>
    </row>
    <row r="92" ht="14.25" customHeight="1">
      <c r="L92" s="71"/>
    </row>
    <row r="93" ht="14.25" customHeight="1">
      <c r="L93" s="71"/>
    </row>
    <row r="94" ht="14.25" customHeight="1">
      <c r="L94" s="71"/>
    </row>
    <row r="95" ht="14.25" customHeight="1">
      <c r="L95" s="71"/>
    </row>
    <row r="96" ht="14.25" customHeight="1">
      <c r="L96" s="71"/>
    </row>
    <row r="97" ht="14.25" customHeight="1">
      <c r="L97" s="71"/>
    </row>
    <row r="98" ht="14.25" customHeight="1">
      <c r="L98" s="71"/>
    </row>
    <row r="99" ht="14.25" customHeight="1">
      <c r="L99" s="71"/>
    </row>
    <row r="100" ht="14.25" customHeight="1">
      <c r="L100" s="71"/>
    </row>
    <row r="101" ht="14.25" customHeight="1">
      <c r="L101" s="71"/>
    </row>
    <row r="102" ht="14.25" customHeight="1">
      <c r="L102" s="71"/>
    </row>
    <row r="103" ht="14.25" customHeight="1">
      <c r="L103" s="71"/>
    </row>
    <row r="104" ht="14.25" customHeight="1">
      <c r="L104" s="71"/>
    </row>
    <row r="105" ht="14.25" customHeight="1">
      <c r="L105" s="71"/>
    </row>
    <row r="106" ht="14.25" customHeight="1">
      <c r="L106" s="71"/>
    </row>
    <row r="107" ht="14.25" customHeight="1">
      <c r="L107" s="71"/>
    </row>
    <row r="108" ht="14.25" customHeight="1">
      <c r="L108" s="71"/>
    </row>
    <row r="109" ht="14.25" customHeight="1">
      <c r="L109" s="71"/>
    </row>
    <row r="110" ht="14.25" customHeight="1">
      <c r="L110" s="71"/>
    </row>
    <row r="111" ht="14.25" customHeight="1">
      <c r="L111" s="71"/>
    </row>
    <row r="112" ht="14.25" customHeight="1">
      <c r="L112" s="71"/>
    </row>
    <row r="113" ht="14.25" customHeight="1">
      <c r="L113" s="71"/>
    </row>
    <row r="114" ht="14.25" customHeight="1">
      <c r="L114" s="71"/>
    </row>
    <row r="115" ht="14.25" customHeight="1">
      <c r="L115" s="71"/>
    </row>
    <row r="116" ht="14.25" customHeight="1">
      <c r="L116" s="71"/>
    </row>
    <row r="117" ht="14.25" customHeight="1">
      <c r="L117" s="71"/>
    </row>
    <row r="118" ht="14.25" customHeight="1">
      <c r="L118" s="71"/>
    </row>
    <row r="119" ht="14.25" customHeight="1">
      <c r="L119" s="71"/>
    </row>
    <row r="120" ht="14.25" customHeight="1">
      <c r="L120" s="71"/>
    </row>
    <row r="121" ht="14.25" customHeight="1">
      <c r="L121" s="71"/>
    </row>
    <row r="122" ht="14.25" customHeight="1">
      <c r="L122" s="71"/>
    </row>
    <row r="123" ht="14.25" customHeight="1">
      <c r="L123" s="71"/>
    </row>
    <row r="124" ht="14.25" customHeight="1">
      <c r="L124" s="71"/>
    </row>
    <row r="125" ht="14.25" customHeight="1">
      <c r="L125" s="71"/>
    </row>
    <row r="126" ht="14.25" customHeight="1">
      <c r="L126" s="71"/>
    </row>
    <row r="127" ht="14.25" customHeight="1">
      <c r="L127" s="71"/>
    </row>
    <row r="128" ht="14.25" customHeight="1">
      <c r="L128" s="71"/>
    </row>
    <row r="129" ht="14.25" customHeight="1">
      <c r="L129" s="71"/>
    </row>
    <row r="130" ht="14.25" customHeight="1">
      <c r="L130" s="71"/>
    </row>
    <row r="131" ht="14.25" customHeight="1">
      <c r="L131" s="71"/>
    </row>
    <row r="132" ht="14.25" customHeight="1">
      <c r="L132" s="71"/>
    </row>
    <row r="133" ht="14.25" customHeight="1">
      <c r="L133" s="71"/>
    </row>
    <row r="134" ht="14.25" customHeight="1">
      <c r="L134" s="71"/>
    </row>
    <row r="135" ht="14.25" customHeight="1">
      <c r="L135" s="71"/>
    </row>
    <row r="136" ht="14.25" customHeight="1">
      <c r="L136" s="71"/>
    </row>
    <row r="137" ht="14.25" customHeight="1">
      <c r="L137" s="71"/>
    </row>
    <row r="138" ht="14.25" customHeight="1">
      <c r="L138" s="71"/>
    </row>
    <row r="139" ht="14.25" customHeight="1">
      <c r="L139" s="71"/>
    </row>
    <row r="140" ht="14.25" customHeight="1">
      <c r="L140" s="71"/>
    </row>
    <row r="141" ht="14.25" customHeight="1">
      <c r="L141" s="71"/>
    </row>
    <row r="142" ht="14.25" customHeight="1">
      <c r="L142" s="71"/>
    </row>
    <row r="143" ht="14.25" customHeight="1">
      <c r="L143" s="71"/>
    </row>
    <row r="144" ht="14.25" customHeight="1">
      <c r="L144" s="71"/>
    </row>
    <row r="145" ht="14.25" customHeight="1">
      <c r="L145" s="71"/>
    </row>
    <row r="146" ht="14.25" customHeight="1">
      <c r="L146" s="71"/>
    </row>
    <row r="147" ht="14.25" customHeight="1">
      <c r="L147" s="71"/>
    </row>
    <row r="148" ht="14.25" customHeight="1">
      <c r="L148" s="71"/>
    </row>
    <row r="149" ht="14.25" customHeight="1">
      <c r="L149" s="71"/>
    </row>
    <row r="150" ht="14.25" customHeight="1">
      <c r="L150" s="71"/>
    </row>
    <row r="151" ht="14.25" customHeight="1">
      <c r="L151" s="71"/>
    </row>
    <row r="152" ht="14.25" customHeight="1">
      <c r="L152" s="71"/>
    </row>
    <row r="153" ht="14.25" customHeight="1">
      <c r="L153" s="71"/>
    </row>
    <row r="154" ht="14.25" customHeight="1">
      <c r="L154" s="71"/>
    </row>
    <row r="155" ht="14.25" customHeight="1">
      <c r="L155" s="71"/>
    </row>
    <row r="156" ht="14.25" customHeight="1">
      <c r="L156" s="71"/>
    </row>
    <row r="157" ht="14.25" customHeight="1">
      <c r="L157" s="71"/>
    </row>
    <row r="158" ht="14.25" customHeight="1">
      <c r="L158" s="71"/>
    </row>
    <row r="159" ht="14.25" customHeight="1">
      <c r="L159" s="71"/>
    </row>
    <row r="160" ht="14.25" customHeight="1">
      <c r="L160" s="71"/>
    </row>
    <row r="161" ht="14.25" customHeight="1">
      <c r="L161" s="71"/>
    </row>
    <row r="162" ht="14.25" customHeight="1">
      <c r="L162" s="71"/>
    </row>
    <row r="163" ht="14.25" customHeight="1">
      <c r="L163" s="71"/>
    </row>
    <row r="164" ht="14.25" customHeight="1">
      <c r="L164" s="71"/>
    </row>
    <row r="165" ht="14.25" customHeight="1">
      <c r="L165" s="71"/>
    </row>
    <row r="166" ht="14.25" customHeight="1">
      <c r="L166" s="71"/>
    </row>
    <row r="167" ht="14.25" customHeight="1">
      <c r="L167" s="71"/>
    </row>
    <row r="168" ht="14.25" customHeight="1">
      <c r="L168" s="71"/>
    </row>
    <row r="169" ht="14.25" customHeight="1">
      <c r="L169" s="71"/>
    </row>
    <row r="170" ht="14.25" customHeight="1">
      <c r="L170" s="71"/>
    </row>
    <row r="171" ht="14.25" customHeight="1">
      <c r="L171" s="71"/>
    </row>
    <row r="172" ht="14.25" customHeight="1">
      <c r="L172" s="71"/>
    </row>
    <row r="173" ht="14.25" customHeight="1">
      <c r="L173" s="71"/>
    </row>
    <row r="174" ht="14.25" customHeight="1">
      <c r="L174" s="71"/>
    </row>
    <row r="175" ht="14.25" customHeight="1">
      <c r="L175" s="71"/>
    </row>
    <row r="176" ht="14.25" customHeight="1">
      <c r="L176" s="71"/>
    </row>
    <row r="177" ht="14.25" customHeight="1">
      <c r="L177" s="71"/>
    </row>
    <row r="178" ht="14.25" customHeight="1">
      <c r="L178" s="71"/>
    </row>
    <row r="179" ht="14.25" customHeight="1">
      <c r="L179" s="71"/>
    </row>
    <row r="180" ht="14.25" customHeight="1">
      <c r="L180" s="71"/>
    </row>
    <row r="181" ht="14.25" customHeight="1">
      <c r="L181" s="71"/>
    </row>
    <row r="182" ht="14.25" customHeight="1">
      <c r="L182" s="71"/>
    </row>
    <row r="183" ht="14.25" customHeight="1">
      <c r="L183" s="71"/>
    </row>
    <row r="184" ht="14.25" customHeight="1">
      <c r="L184" s="71"/>
    </row>
    <row r="185" ht="14.25" customHeight="1">
      <c r="L185" s="71"/>
    </row>
    <row r="186" ht="14.25" customHeight="1">
      <c r="L186" s="71"/>
    </row>
    <row r="187" ht="14.25" customHeight="1">
      <c r="L187" s="71"/>
    </row>
    <row r="188" ht="14.25" customHeight="1">
      <c r="L188" s="71"/>
    </row>
    <row r="189" ht="14.25" customHeight="1">
      <c r="L189" s="71"/>
    </row>
    <row r="190" ht="14.25" customHeight="1">
      <c r="L190" s="71"/>
    </row>
    <row r="191" ht="14.25" customHeight="1">
      <c r="L191" s="71"/>
    </row>
    <row r="192" ht="14.25" customHeight="1">
      <c r="L192" s="71"/>
    </row>
    <row r="193" ht="14.25" customHeight="1">
      <c r="L193" s="71"/>
    </row>
    <row r="194" ht="14.25" customHeight="1">
      <c r="L194" s="71"/>
    </row>
    <row r="195" ht="14.25" customHeight="1">
      <c r="L195" s="71"/>
    </row>
    <row r="196" ht="14.25" customHeight="1">
      <c r="L196" s="71"/>
    </row>
    <row r="197" ht="14.25" customHeight="1">
      <c r="L197" s="71"/>
    </row>
    <row r="198" ht="14.25" customHeight="1">
      <c r="L198" s="71"/>
    </row>
    <row r="199" ht="14.25" customHeight="1">
      <c r="L199" s="71"/>
    </row>
    <row r="200" ht="14.25" customHeight="1">
      <c r="L200" s="71"/>
    </row>
    <row r="201" ht="14.25" customHeight="1">
      <c r="L201" s="71"/>
    </row>
    <row r="202" ht="14.25" customHeight="1">
      <c r="L202" s="71"/>
    </row>
    <row r="203" ht="14.25" customHeight="1">
      <c r="L203" s="71"/>
    </row>
    <row r="204" ht="14.25" customHeight="1">
      <c r="L204" s="71"/>
    </row>
    <row r="205" ht="14.25" customHeight="1">
      <c r="L205" s="71"/>
    </row>
    <row r="206" ht="14.25" customHeight="1">
      <c r="L206" s="71"/>
    </row>
    <row r="207" ht="14.25" customHeight="1">
      <c r="L207" s="71"/>
    </row>
    <row r="208" ht="14.25" customHeight="1">
      <c r="L208" s="71"/>
    </row>
    <row r="209" ht="14.25" customHeight="1">
      <c r="L209" s="71"/>
    </row>
    <row r="210" ht="14.25" customHeight="1">
      <c r="L210" s="71"/>
    </row>
    <row r="211" ht="14.25" customHeight="1">
      <c r="L211" s="71"/>
    </row>
    <row r="212" ht="14.25" customHeight="1">
      <c r="L212" s="71"/>
    </row>
    <row r="213" ht="14.25" customHeight="1">
      <c r="L213" s="71"/>
    </row>
    <row r="214" ht="14.25" customHeight="1">
      <c r="L214" s="71"/>
    </row>
    <row r="215" ht="14.25" customHeight="1">
      <c r="L215" s="71"/>
    </row>
    <row r="216" ht="14.25" customHeight="1">
      <c r="L216" s="71"/>
    </row>
    <row r="217" ht="14.25" customHeight="1">
      <c r="L217" s="71"/>
    </row>
    <row r="218" ht="14.25" customHeight="1">
      <c r="L218" s="71"/>
    </row>
    <row r="219" ht="14.25" customHeight="1">
      <c r="L219" s="71"/>
    </row>
    <row r="220" ht="14.25" customHeight="1">
      <c r="L220" s="71"/>
    </row>
    <row r="221" ht="14.25" customHeight="1">
      <c r="L221" s="71"/>
    </row>
    <row r="222" ht="14.25" customHeight="1">
      <c r="L222" s="71"/>
    </row>
    <row r="223" ht="14.25" customHeight="1">
      <c r="L223" s="71"/>
    </row>
    <row r="224" ht="14.25" customHeight="1">
      <c r="L224" s="71"/>
    </row>
    <row r="225" ht="14.25" customHeight="1">
      <c r="L225" s="71"/>
    </row>
    <row r="226" ht="14.25" customHeight="1">
      <c r="L226" s="71"/>
    </row>
    <row r="227" ht="14.25" customHeight="1">
      <c r="L227" s="71"/>
    </row>
    <row r="228" ht="14.25" customHeight="1">
      <c r="L228" s="71"/>
    </row>
    <row r="229" ht="14.25" customHeight="1">
      <c r="L229" s="71"/>
    </row>
    <row r="230" ht="14.25" customHeight="1">
      <c r="L230" s="71"/>
    </row>
    <row r="231" ht="14.25" customHeight="1">
      <c r="L231" s="71"/>
    </row>
    <row r="232" ht="14.25" customHeight="1">
      <c r="L232" s="71"/>
    </row>
    <row r="233" ht="14.25" customHeight="1">
      <c r="L233" s="71"/>
    </row>
    <row r="234" ht="14.25" customHeight="1">
      <c r="L234" s="71"/>
    </row>
    <row r="235" ht="14.25" customHeight="1">
      <c r="L235" s="71"/>
    </row>
    <row r="236" ht="14.25" customHeight="1">
      <c r="L236" s="71"/>
    </row>
    <row r="237" ht="14.25" customHeight="1">
      <c r="L237" s="71"/>
    </row>
    <row r="238" ht="14.25" customHeight="1">
      <c r="L238" s="71"/>
    </row>
    <row r="239" ht="14.25" customHeight="1">
      <c r="L239" s="71"/>
    </row>
    <row r="240" ht="14.25" customHeight="1">
      <c r="L240" s="71"/>
    </row>
    <row r="241" ht="14.25" customHeight="1">
      <c r="L241" s="71"/>
    </row>
    <row r="242" ht="14.25" customHeight="1">
      <c r="L242" s="71"/>
    </row>
    <row r="243" ht="14.25" customHeight="1">
      <c r="L243" s="71"/>
    </row>
    <row r="244" ht="14.25" customHeight="1">
      <c r="L244" s="71"/>
    </row>
    <row r="245" ht="14.25" customHeight="1">
      <c r="L245" s="71"/>
    </row>
    <row r="246" ht="14.25" customHeight="1">
      <c r="L246" s="71"/>
    </row>
    <row r="247" ht="14.25" customHeight="1">
      <c r="L247" s="71"/>
    </row>
    <row r="248" ht="14.25" customHeight="1">
      <c r="L248" s="71"/>
    </row>
    <row r="249" ht="14.25" customHeight="1">
      <c r="L249" s="71"/>
    </row>
    <row r="250" ht="14.25" customHeight="1">
      <c r="L250" s="71"/>
    </row>
    <row r="251" ht="14.25" customHeight="1">
      <c r="L251" s="71"/>
    </row>
    <row r="252" ht="14.25" customHeight="1">
      <c r="L252" s="71"/>
    </row>
    <row r="253" ht="14.25" customHeight="1">
      <c r="L253" s="71"/>
    </row>
    <row r="254" ht="14.25" customHeight="1">
      <c r="L254" s="71"/>
    </row>
    <row r="255" ht="14.25" customHeight="1">
      <c r="L255" s="71"/>
    </row>
    <row r="256" ht="14.25" customHeight="1">
      <c r="L256" s="71"/>
    </row>
    <row r="257" ht="14.25" customHeight="1">
      <c r="L257" s="71"/>
    </row>
    <row r="258" ht="14.25" customHeight="1">
      <c r="L258" s="71"/>
    </row>
    <row r="259" ht="14.25" customHeight="1">
      <c r="L259" s="71"/>
    </row>
    <row r="260" ht="14.25" customHeight="1">
      <c r="L260" s="71"/>
    </row>
    <row r="261" ht="14.25" customHeight="1">
      <c r="L261" s="71"/>
    </row>
    <row r="262" ht="14.25" customHeight="1">
      <c r="L262" s="71"/>
    </row>
    <row r="263" ht="14.25" customHeight="1">
      <c r="L263" s="71"/>
    </row>
    <row r="264" ht="14.25" customHeight="1">
      <c r="L264" s="71"/>
    </row>
    <row r="265" ht="14.25" customHeight="1">
      <c r="L265" s="71"/>
    </row>
    <row r="266" ht="14.25" customHeight="1">
      <c r="L266" s="71"/>
    </row>
    <row r="267" ht="14.25" customHeight="1">
      <c r="L267" s="71"/>
    </row>
    <row r="268" ht="14.25" customHeight="1">
      <c r="L268" s="71"/>
    </row>
    <row r="269" ht="14.25" customHeight="1">
      <c r="L269" s="71"/>
    </row>
    <row r="270" ht="14.25" customHeight="1">
      <c r="L270" s="71"/>
    </row>
    <row r="271" ht="14.25" customHeight="1">
      <c r="L271" s="71"/>
    </row>
    <row r="272" ht="14.25" customHeight="1">
      <c r="L272" s="71"/>
    </row>
    <row r="273" ht="14.25" customHeight="1">
      <c r="L273" s="71"/>
    </row>
    <row r="274" ht="14.25" customHeight="1">
      <c r="L274" s="71"/>
    </row>
    <row r="275" ht="14.25" customHeight="1">
      <c r="L275" s="71"/>
    </row>
    <row r="276" ht="14.25" customHeight="1">
      <c r="L276" s="71"/>
    </row>
    <row r="277" ht="14.25" customHeight="1">
      <c r="L277" s="71"/>
    </row>
    <row r="278" ht="14.25" customHeight="1">
      <c r="L278" s="71"/>
    </row>
    <row r="279" ht="14.25" customHeight="1">
      <c r="L279" s="71"/>
    </row>
    <row r="280" ht="14.25" customHeight="1">
      <c r="L280" s="71"/>
    </row>
    <row r="281" ht="14.25" customHeight="1">
      <c r="L281" s="71"/>
    </row>
    <row r="282" ht="14.25" customHeight="1">
      <c r="L282" s="71"/>
    </row>
    <row r="283" ht="14.25" customHeight="1">
      <c r="L283" s="71"/>
    </row>
    <row r="284" ht="14.25" customHeight="1">
      <c r="L284" s="71"/>
    </row>
    <row r="285" ht="14.25" customHeight="1">
      <c r="L285" s="71"/>
    </row>
    <row r="286" ht="14.25" customHeight="1">
      <c r="L286" s="71"/>
    </row>
    <row r="287" ht="14.25" customHeight="1">
      <c r="L287" s="71"/>
    </row>
    <row r="288" ht="14.25" customHeight="1">
      <c r="L288" s="71"/>
    </row>
    <row r="289" ht="14.25" customHeight="1">
      <c r="L289" s="71"/>
    </row>
    <row r="290" ht="14.25" customHeight="1">
      <c r="L290" s="71"/>
    </row>
    <row r="291" ht="14.25" customHeight="1">
      <c r="L291" s="71"/>
    </row>
    <row r="292" ht="14.25" customHeight="1">
      <c r="L292" s="71"/>
    </row>
    <row r="293" ht="14.25" customHeight="1">
      <c r="L293" s="71"/>
    </row>
    <row r="294" ht="14.25" customHeight="1">
      <c r="L294" s="71"/>
    </row>
    <row r="295" ht="14.25" customHeight="1">
      <c r="L295" s="71"/>
    </row>
    <row r="296" ht="14.25" customHeight="1">
      <c r="L296" s="71"/>
    </row>
    <row r="297" ht="14.25" customHeight="1">
      <c r="L297" s="71"/>
    </row>
    <row r="298" ht="14.25" customHeight="1">
      <c r="L298" s="71"/>
    </row>
    <row r="299" ht="14.25" customHeight="1">
      <c r="L299" s="71"/>
    </row>
    <row r="300" ht="14.25" customHeight="1">
      <c r="L300" s="71"/>
    </row>
    <row r="301" ht="14.25" customHeight="1">
      <c r="L301" s="71"/>
    </row>
    <row r="302" ht="14.25" customHeight="1">
      <c r="L302" s="71"/>
    </row>
    <row r="303" ht="14.25" customHeight="1">
      <c r="L303" s="71"/>
    </row>
    <row r="304" ht="14.25" customHeight="1">
      <c r="L304" s="71"/>
    </row>
    <row r="305" ht="14.25" customHeight="1">
      <c r="L305" s="71"/>
    </row>
    <row r="306" ht="14.25" customHeight="1">
      <c r="L306" s="71"/>
    </row>
    <row r="307" ht="14.25" customHeight="1">
      <c r="L307" s="71"/>
    </row>
    <row r="308" ht="14.25" customHeight="1">
      <c r="L308" s="71"/>
    </row>
    <row r="309" ht="14.25" customHeight="1">
      <c r="L309" s="71"/>
    </row>
    <row r="310" ht="14.25" customHeight="1">
      <c r="L310" s="71"/>
    </row>
    <row r="311" ht="14.25" customHeight="1">
      <c r="L311" s="71"/>
    </row>
    <row r="312" ht="14.25" customHeight="1">
      <c r="L312" s="71"/>
    </row>
    <row r="313" ht="14.25" customHeight="1">
      <c r="L313" s="71"/>
    </row>
    <row r="314" ht="14.25" customHeight="1">
      <c r="L314" s="71"/>
    </row>
    <row r="315" ht="14.25" customHeight="1">
      <c r="L315" s="71"/>
    </row>
    <row r="316" ht="14.25" customHeight="1">
      <c r="L316" s="71"/>
    </row>
    <row r="317" ht="14.25" customHeight="1">
      <c r="L317" s="71"/>
    </row>
    <row r="318" ht="14.25" customHeight="1">
      <c r="L318" s="71"/>
    </row>
    <row r="319" ht="14.25" customHeight="1">
      <c r="L319" s="71"/>
    </row>
    <row r="320" ht="14.25" customHeight="1">
      <c r="L320" s="71"/>
    </row>
    <row r="321" ht="14.25" customHeight="1">
      <c r="L321" s="71"/>
    </row>
    <row r="322" ht="14.25" customHeight="1">
      <c r="L322" s="71"/>
    </row>
    <row r="323" ht="14.25" customHeight="1">
      <c r="L323" s="71"/>
    </row>
    <row r="324" ht="14.25" customHeight="1">
      <c r="L324" s="71"/>
    </row>
    <row r="325" ht="14.25" customHeight="1">
      <c r="L325" s="71"/>
    </row>
    <row r="326" ht="14.25" customHeight="1">
      <c r="L326" s="71"/>
    </row>
    <row r="327" ht="14.25" customHeight="1">
      <c r="L327" s="71"/>
    </row>
    <row r="328" ht="14.25" customHeight="1">
      <c r="L328" s="71"/>
    </row>
    <row r="329" ht="14.25" customHeight="1">
      <c r="L329" s="71"/>
    </row>
    <row r="330" ht="14.25" customHeight="1">
      <c r="L330" s="71"/>
    </row>
    <row r="331" ht="14.25" customHeight="1">
      <c r="L331" s="71"/>
    </row>
    <row r="332" ht="14.25" customHeight="1">
      <c r="L332" s="71"/>
    </row>
    <row r="333" ht="14.25" customHeight="1">
      <c r="L333" s="71"/>
    </row>
    <row r="334" ht="14.25" customHeight="1">
      <c r="L334" s="71"/>
    </row>
    <row r="335" ht="14.25" customHeight="1">
      <c r="L335" s="71"/>
    </row>
    <row r="336" ht="14.25" customHeight="1">
      <c r="L336" s="71"/>
    </row>
    <row r="337" ht="14.25" customHeight="1">
      <c r="L337" s="71"/>
    </row>
    <row r="338" ht="14.25" customHeight="1">
      <c r="L338" s="71"/>
    </row>
    <row r="339" ht="14.25" customHeight="1">
      <c r="L339" s="71"/>
    </row>
    <row r="340" ht="14.25" customHeight="1">
      <c r="L340" s="71"/>
    </row>
    <row r="341" ht="14.25" customHeight="1">
      <c r="L341" s="71"/>
    </row>
    <row r="342" ht="14.25" customHeight="1">
      <c r="L342" s="71"/>
    </row>
    <row r="343" ht="14.25" customHeight="1">
      <c r="L343" s="71"/>
    </row>
    <row r="344" ht="14.25" customHeight="1">
      <c r="L344" s="71"/>
    </row>
    <row r="345" ht="14.25" customHeight="1">
      <c r="L345" s="71"/>
    </row>
    <row r="346" ht="14.25" customHeight="1">
      <c r="L346" s="71"/>
    </row>
    <row r="347" ht="14.25" customHeight="1">
      <c r="L347" s="71"/>
    </row>
    <row r="348" ht="14.25" customHeight="1">
      <c r="L348" s="71"/>
    </row>
    <row r="349" ht="14.25" customHeight="1">
      <c r="L349" s="71"/>
    </row>
    <row r="350" ht="14.25" customHeight="1">
      <c r="L350" s="71"/>
    </row>
    <row r="351" ht="14.25" customHeight="1">
      <c r="L351" s="71"/>
    </row>
    <row r="352" ht="14.25" customHeight="1">
      <c r="L352" s="71"/>
    </row>
    <row r="353" ht="14.25" customHeight="1">
      <c r="L353" s="71"/>
    </row>
    <row r="354" ht="14.25" customHeight="1">
      <c r="L354" s="71"/>
    </row>
    <row r="355" ht="14.25" customHeight="1">
      <c r="L355" s="71"/>
    </row>
    <row r="356" ht="14.25" customHeight="1">
      <c r="L356" s="71"/>
    </row>
    <row r="357" ht="14.25" customHeight="1">
      <c r="L357" s="71"/>
    </row>
    <row r="358" ht="14.25" customHeight="1">
      <c r="L358" s="71"/>
    </row>
    <row r="359" ht="14.25" customHeight="1">
      <c r="L359" s="71"/>
    </row>
    <row r="360" ht="14.25" customHeight="1">
      <c r="L360" s="71"/>
    </row>
    <row r="361" ht="14.25" customHeight="1">
      <c r="L361" s="71"/>
    </row>
    <row r="362" ht="14.25" customHeight="1">
      <c r="L362" s="71"/>
    </row>
    <row r="363" ht="14.25" customHeight="1">
      <c r="L363" s="71"/>
    </row>
    <row r="364" ht="14.25" customHeight="1">
      <c r="L364" s="71"/>
    </row>
    <row r="365" ht="14.25" customHeight="1">
      <c r="L365" s="71"/>
    </row>
    <row r="366" ht="14.25" customHeight="1">
      <c r="L366" s="71"/>
    </row>
    <row r="367" ht="14.25" customHeight="1">
      <c r="L367" s="71"/>
    </row>
    <row r="368" ht="14.25" customHeight="1">
      <c r="L368" s="71"/>
    </row>
    <row r="369" ht="14.25" customHeight="1">
      <c r="L369" s="71"/>
    </row>
    <row r="370" ht="14.25" customHeight="1">
      <c r="L370" s="71"/>
    </row>
    <row r="371" ht="14.25" customHeight="1">
      <c r="L371" s="71"/>
    </row>
    <row r="372" ht="14.25" customHeight="1">
      <c r="L372" s="71"/>
    </row>
    <row r="373" ht="14.25" customHeight="1">
      <c r="L373" s="71"/>
    </row>
    <row r="374" ht="14.25" customHeight="1">
      <c r="L374" s="71"/>
    </row>
    <row r="375" ht="14.25" customHeight="1">
      <c r="L375" s="71"/>
    </row>
    <row r="376" ht="14.25" customHeight="1">
      <c r="L376" s="71"/>
    </row>
    <row r="377" ht="14.25" customHeight="1">
      <c r="L377" s="71"/>
    </row>
    <row r="378" ht="14.25" customHeight="1">
      <c r="L378" s="71"/>
    </row>
    <row r="379" ht="14.25" customHeight="1">
      <c r="L379" s="71"/>
    </row>
    <row r="380" ht="14.25" customHeight="1">
      <c r="L380" s="71"/>
    </row>
    <row r="381" ht="14.25" customHeight="1">
      <c r="L381" s="71"/>
    </row>
    <row r="382" ht="14.25" customHeight="1">
      <c r="L382" s="71"/>
    </row>
    <row r="383" ht="14.25" customHeight="1">
      <c r="L383" s="71"/>
    </row>
    <row r="384" ht="14.25" customHeight="1">
      <c r="L384" s="71"/>
    </row>
    <row r="385" ht="14.25" customHeight="1">
      <c r="L385" s="71"/>
    </row>
    <row r="386" ht="14.25" customHeight="1">
      <c r="L386" s="71"/>
    </row>
    <row r="387" ht="14.25" customHeight="1">
      <c r="L387" s="71"/>
    </row>
    <row r="388" ht="14.25" customHeight="1">
      <c r="L388" s="71"/>
    </row>
    <row r="389" ht="14.25" customHeight="1">
      <c r="L389" s="71"/>
    </row>
    <row r="390" ht="14.25" customHeight="1">
      <c r="L390" s="71"/>
    </row>
    <row r="391" ht="14.25" customHeight="1">
      <c r="L391" s="71"/>
    </row>
    <row r="392" ht="14.25" customHeight="1">
      <c r="L392" s="71"/>
    </row>
    <row r="393" ht="14.25" customHeight="1">
      <c r="L393" s="71"/>
    </row>
    <row r="394" ht="14.25" customHeight="1">
      <c r="L394" s="71"/>
    </row>
    <row r="395" ht="14.25" customHeight="1">
      <c r="L395" s="71"/>
    </row>
    <row r="396" ht="14.25" customHeight="1">
      <c r="L396" s="71"/>
    </row>
    <row r="397" ht="14.25" customHeight="1">
      <c r="L397" s="71"/>
    </row>
    <row r="398" ht="14.25" customHeight="1">
      <c r="L398" s="71"/>
    </row>
    <row r="399" ht="14.25" customHeight="1">
      <c r="L399" s="71"/>
    </row>
    <row r="400" ht="14.25" customHeight="1">
      <c r="L400" s="71"/>
    </row>
    <row r="401" ht="14.25" customHeight="1">
      <c r="L401" s="71"/>
    </row>
    <row r="402" ht="14.25" customHeight="1">
      <c r="L402" s="71"/>
    </row>
    <row r="403" ht="14.25" customHeight="1">
      <c r="L403" s="71"/>
    </row>
    <row r="404" ht="14.25" customHeight="1">
      <c r="L404" s="71"/>
    </row>
    <row r="405" ht="14.25" customHeight="1">
      <c r="L405" s="71"/>
    </row>
    <row r="406" ht="14.25" customHeight="1">
      <c r="L406" s="71"/>
    </row>
    <row r="407" ht="14.25" customHeight="1">
      <c r="L407" s="71"/>
    </row>
    <row r="408" ht="14.25" customHeight="1">
      <c r="L408" s="71"/>
    </row>
    <row r="409" ht="14.25" customHeight="1">
      <c r="L409" s="71"/>
    </row>
    <row r="410" ht="14.25" customHeight="1">
      <c r="L410" s="71"/>
    </row>
    <row r="411" ht="14.25" customHeight="1">
      <c r="L411" s="71"/>
    </row>
    <row r="412" ht="14.25" customHeight="1">
      <c r="L412" s="71"/>
    </row>
    <row r="413" ht="14.25" customHeight="1">
      <c r="L413" s="71"/>
    </row>
    <row r="414" ht="14.25" customHeight="1">
      <c r="L414" s="71"/>
    </row>
    <row r="415" ht="14.25" customHeight="1">
      <c r="L415" s="71"/>
    </row>
    <row r="416" ht="14.25" customHeight="1">
      <c r="L416" s="71"/>
    </row>
    <row r="417" ht="14.25" customHeight="1">
      <c r="L417" s="71"/>
    </row>
    <row r="418" ht="14.25" customHeight="1">
      <c r="L418" s="71"/>
    </row>
    <row r="419" ht="14.25" customHeight="1">
      <c r="L419" s="71"/>
    </row>
    <row r="420" ht="14.25" customHeight="1">
      <c r="L420" s="71"/>
    </row>
    <row r="421" ht="14.25" customHeight="1">
      <c r="L421" s="71"/>
    </row>
    <row r="422" ht="14.25" customHeight="1">
      <c r="L422" s="71"/>
    </row>
    <row r="423" ht="14.25" customHeight="1">
      <c r="L423" s="71"/>
    </row>
    <row r="424" ht="14.25" customHeight="1">
      <c r="L424" s="71"/>
    </row>
    <row r="425" ht="14.25" customHeight="1">
      <c r="L425" s="71"/>
    </row>
    <row r="426" ht="14.25" customHeight="1">
      <c r="L426" s="71"/>
    </row>
    <row r="427" ht="14.25" customHeight="1">
      <c r="L427" s="71"/>
    </row>
    <row r="428" ht="14.25" customHeight="1">
      <c r="L428" s="71"/>
    </row>
    <row r="429" ht="14.25" customHeight="1">
      <c r="L429" s="71"/>
    </row>
    <row r="430" ht="14.25" customHeight="1">
      <c r="L430" s="71"/>
    </row>
    <row r="431" ht="14.25" customHeight="1">
      <c r="L431" s="71"/>
    </row>
    <row r="432" ht="14.25" customHeight="1">
      <c r="L432" s="71"/>
    </row>
    <row r="433" ht="14.25" customHeight="1">
      <c r="L433" s="71"/>
    </row>
    <row r="434" ht="14.25" customHeight="1">
      <c r="L434" s="71"/>
    </row>
    <row r="435" ht="14.25" customHeight="1">
      <c r="L435" s="71"/>
    </row>
    <row r="436" ht="14.25" customHeight="1">
      <c r="L436" s="71"/>
    </row>
    <row r="437" ht="14.25" customHeight="1">
      <c r="L437" s="71"/>
    </row>
    <row r="438" ht="14.25" customHeight="1">
      <c r="L438" s="71"/>
    </row>
    <row r="439" ht="14.25" customHeight="1">
      <c r="L439" s="71"/>
    </row>
    <row r="440" ht="14.25" customHeight="1">
      <c r="L440" s="71"/>
    </row>
    <row r="441" ht="14.25" customHeight="1">
      <c r="L441" s="71"/>
    </row>
    <row r="442" ht="14.25" customHeight="1">
      <c r="L442" s="71"/>
    </row>
    <row r="443" ht="14.25" customHeight="1">
      <c r="L443" s="71"/>
    </row>
    <row r="444" ht="14.25" customHeight="1">
      <c r="L444" s="71"/>
    </row>
    <row r="445" ht="14.25" customHeight="1">
      <c r="L445" s="71"/>
    </row>
    <row r="446" ht="14.25" customHeight="1">
      <c r="L446" s="71"/>
    </row>
    <row r="447" ht="14.25" customHeight="1">
      <c r="L447" s="71"/>
    </row>
    <row r="448" ht="14.25" customHeight="1">
      <c r="L448" s="71"/>
    </row>
    <row r="449" ht="14.25" customHeight="1">
      <c r="L449" s="71"/>
    </row>
    <row r="450" ht="14.25" customHeight="1">
      <c r="L450" s="71"/>
    </row>
    <row r="451" ht="14.25" customHeight="1">
      <c r="L451" s="71"/>
    </row>
    <row r="452" ht="14.25" customHeight="1">
      <c r="L452" s="71"/>
    </row>
    <row r="453" ht="14.25" customHeight="1">
      <c r="L453" s="71"/>
    </row>
    <row r="454" ht="14.25" customHeight="1">
      <c r="L454" s="71"/>
    </row>
    <row r="455" ht="14.25" customHeight="1">
      <c r="L455" s="71"/>
    </row>
    <row r="456" ht="14.25" customHeight="1">
      <c r="L456" s="71"/>
    </row>
    <row r="457" ht="14.25" customHeight="1">
      <c r="L457" s="71"/>
    </row>
    <row r="458" ht="14.25" customHeight="1">
      <c r="L458" s="71"/>
    </row>
    <row r="459" ht="14.25" customHeight="1">
      <c r="L459" s="71"/>
    </row>
    <row r="460" ht="14.25" customHeight="1">
      <c r="L460" s="71"/>
    </row>
    <row r="461" ht="14.25" customHeight="1">
      <c r="L461" s="71"/>
    </row>
    <row r="462" ht="14.25" customHeight="1">
      <c r="L462" s="71"/>
    </row>
    <row r="463" ht="14.25" customHeight="1">
      <c r="L463" s="71"/>
    </row>
    <row r="464" ht="14.25" customHeight="1">
      <c r="L464" s="71"/>
    </row>
    <row r="465" ht="14.25" customHeight="1">
      <c r="L465" s="71"/>
    </row>
    <row r="466" ht="14.25" customHeight="1">
      <c r="L466" s="71"/>
    </row>
    <row r="467" ht="14.25" customHeight="1">
      <c r="L467" s="71"/>
    </row>
    <row r="468" ht="14.25" customHeight="1">
      <c r="L468" s="71"/>
    </row>
    <row r="469" ht="14.25" customHeight="1">
      <c r="L469" s="71"/>
    </row>
    <row r="470" ht="14.25" customHeight="1">
      <c r="L470" s="71"/>
    </row>
    <row r="471" ht="14.25" customHeight="1">
      <c r="L471" s="71"/>
    </row>
    <row r="472" ht="14.25" customHeight="1">
      <c r="L472" s="71"/>
    </row>
    <row r="473" ht="14.25" customHeight="1">
      <c r="L473" s="71"/>
    </row>
    <row r="474" ht="14.25" customHeight="1">
      <c r="L474" s="71"/>
    </row>
    <row r="475" ht="14.25" customHeight="1">
      <c r="L475" s="71"/>
    </row>
    <row r="476" ht="14.25" customHeight="1">
      <c r="L476" s="71"/>
    </row>
    <row r="477" ht="14.25" customHeight="1">
      <c r="L477" s="71"/>
    </row>
    <row r="478" ht="14.25" customHeight="1">
      <c r="L478" s="71"/>
    </row>
    <row r="479" ht="14.25" customHeight="1">
      <c r="L479" s="71"/>
    </row>
    <row r="480" ht="14.25" customHeight="1">
      <c r="L480" s="71"/>
    </row>
    <row r="481" ht="14.25" customHeight="1">
      <c r="L481" s="71"/>
    </row>
    <row r="482" ht="14.25" customHeight="1">
      <c r="L482" s="71"/>
    </row>
    <row r="483" ht="14.25" customHeight="1">
      <c r="L483" s="71"/>
    </row>
    <row r="484" ht="14.25" customHeight="1">
      <c r="L484" s="71"/>
    </row>
    <row r="485" ht="14.25" customHeight="1">
      <c r="L485" s="71"/>
    </row>
    <row r="486" ht="14.25" customHeight="1">
      <c r="L486" s="71"/>
    </row>
    <row r="487" ht="14.25" customHeight="1">
      <c r="L487" s="71"/>
    </row>
    <row r="488" ht="14.25" customHeight="1">
      <c r="L488" s="71"/>
    </row>
    <row r="489" ht="14.25" customHeight="1">
      <c r="L489" s="71"/>
    </row>
    <row r="490" ht="14.25" customHeight="1">
      <c r="L490" s="71"/>
    </row>
    <row r="491" ht="14.25" customHeight="1">
      <c r="L491" s="71"/>
    </row>
    <row r="492" ht="14.25" customHeight="1">
      <c r="L492" s="71"/>
    </row>
    <row r="493" ht="14.25" customHeight="1">
      <c r="L493" s="71"/>
    </row>
    <row r="494" ht="14.25" customHeight="1">
      <c r="L494" s="71"/>
    </row>
    <row r="495" ht="14.25" customHeight="1">
      <c r="L495" s="71"/>
    </row>
    <row r="496" ht="14.25" customHeight="1">
      <c r="L496" s="71"/>
    </row>
    <row r="497" ht="14.25" customHeight="1">
      <c r="L497" s="71"/>
    </row>
    <row r="498" ht="14.25" customHeight="1">
      <c r="L498" s="71"/>
    </row>
    <row r="499" ht="14.25" customHeight="1">
      <c r="L499" s="71"/>
    </row>
    <row r="500" ht="14.25" customHeight="1">
      <c r="L500" s="71"/>
    </row>
    <row r="501" ht="14.25" customHeight="1">
      <c r="L501" s="71"/>
    </row>
    <row r="502" ht="14.25" customHeight="1">
      <c r="L502" s="71"/>
    </row>
    <row r="503" ht="14.25" customHeight="1">
      <c r="L503" s="71"/>
    </row>
    <row r="504" ht="14.25" customHeight="1">
      <c r="L504" s="71"/>
    </row>
    <row r="505" ht="14.25" customHeight="1">
      <c r="L505" s="71"/>
    </row>
    <row r="506" ht="14.25" customHeight="1">
      <c r="L506" s="71"/>
    </row>
    <row r="507" ht="14.25" customHeight="1">
      <c r="L507" s="71"/>
    </row>
    <row r="508" ht="14.25" customHeight="1">
      <c r="L508" s="71"/>
    </row>
    <row r="509" ht="14.25" customHeight="1">
      <c r="L509" s="71"/>
    </row>
    <row r="510" ht="14.25" customHeight="1">
      <c r="L510" s="71"/>
    </row>
    <row r="511" ht="14.25" customHeight="1">
      <c r="L511" s="71"/>
    </row>
    <row r="512" ht="14.25" customHeight="1">
      <c r="L512" s="71"/>
    </row>
    <row r="513" ht="14.25" customHeight="1">
      <c r="L513" s="71"/>
    </row>
    <row r="514" ht="14.25" customHeight="1">
      <c r="L514" s="71"/>
    </row>
    <row r="515" ht="14.25" customHeight="1">
      <c r="L515" s="71"/>
    </row>
    <row r="516" ht="14.25" customHeight="1">
      <c r="L516" s="71"/>
    </row>
    <row r="517" ht="14.25" customHeight="1">
      <c r="L517" s="71"/>
    </row>
    <row r="518" ht="14.25" customHeight="1">
      <c r="L518" s="71"/>
    </row>
    <row r="519" ht="14.25" customHeight="1">
      <c r="L519" s="71"/>
    </row>
    <row r="520" ht="14.25" customHeight="1">
      <c r="L520" s="71"/>
    </row>
    <row r="521" ht="14.25" customHeight="1">
      <c r="L521" s="71"/>
    </row>
    <row r="522" ht="14.25" customHeight="1">
      <c r="L522" s="71"/>
    </row>
    <row r="523" ht="14.25" customHeight="1">
      <c r="L523" s="71"/>
    </row>
    <row r="524" ht="14.25" customHeight="1">
      <c r="L524" s="71"/>
    </row>
    <row r="525" ht="14.25" customHeight="1">
      <c r="L525" s="71"/>
    </row>
    <row r="526" ht="14.25" customHeight="1">
      <c r="L526" s="71"/>
    </row>
    <row r="527" ht="14.25" customHeight="1">
      <c r="L527" s="71"/>
    </row>
    <row r="528" ht="14.25" customHeight="1">
      <c r="L528" s="71"/>
    </row>
    <row r="529" ht="14.25" customHeight="1">
      <c r="L529" s="71"/>
    </row>
    <row r="530" ht="14.25" customHeight="1">
      <c r="L530" s="71"/>
    </row>
    <row r="531" ht="14.25" customHeight="1">
      <c r="L531" s="71"/>
    </row>
    <row r="532" ht="14.25" customHeight="1">
      <c r="L532" s="71"/>
    </row>
    <row r="533" ht="14.25" customHeight="1">
      <c r="L533" s="71"/>
    </row>
    <row r="534" ht="14.25" customHeight="1">
      <c r="L534" s="71"/>
    </row>
    <row r="535" ht="14.25" customHeight="1">
      <c r="L535" s="71"/>
    </row>
    <row r="536" ht="14.25" customHeight="1">
      <c r="L536" s="71"/>
    </row>
    <row r="537" ht="14.25" customHeight="1">
      <c r="L537" s="71"/>
    </row>
    <row r="538" ht="14.25" customHeight="1">
      <c r="L538" s="71"/>
    </row>
    <row r="539" ht="14.25" customHeight="1">
      <c r="L539" s="71"/>
    </row>
    <row r="540" ht="14.25" customHeight="1">
      <c r="L540" s="71"/>
    </row>
    <row r="541" ht="14.25" customHeight="1">
      <c r="L541" s="71"/>
    </row>
    <row r="542" ht="14.25" customHeight="1">
      <c r="L542" s="71"/>
    </row>
    <row r="543" ht="14.25" customHeight="1">
      <c r="L543" s="71"/>
    </row>
    <row r="544" ht="14.25" customHeight="1">
      <c r="L544" s="71"/>
    </row>
    <row r="545" ht="14.25" customHeight="1">
      <c r="L545" s="71"/>
    </row>
    <row r="546" ht="14.25" customHeight="1">
      <c r="L546" s="71"/>
    </row>
    <row r="547" ht="14.25" customHeight="1">
      <c r="L547" s="71"/>
    </row>
    <row r="548" ht="14.25" customHeight="1">
      <c r="L548" s="71"/>
    </row>
    <row r="549" ht="14.25" customHeight="1">
      <c r="L549" s="71"/>
    </row>
    <row r="550" ht="14.25" customHeight="1">
      <c r="L550" s="71"/>
    </row>
    <row r="551" ht="14.25" customHeight="1">
      <c r="L551" s="71"/>
    </row>
    <row r="552" ht="14.25" customHeight="1">
      <c r="L552" s="71"/>
    </row>
    <row r="553" ht="14.25" customHeight="1">
      <c r="L553" s="71"/>
    </row>
    <row r="554" ht="14.25" customHeight="1">
      <c r="L554" s="71"/>
    </row>
    <row r="555" ht="14.25" customHeight="1">
      <c r="L555" s="71"/>
    </row>
    <row r="556" ht="14.25" customHeight="1">
      <c r="L556" s="71"/>
    </row>
    <row r="557" ht="14.25" customHeight="1">
      <c r="L557" s="71"/>
    </row>
    <row r="558" ht="14.25" customHeight="1">
      <c r="L558" s="71"/>
    </row>
    <row r="559" ht="14.25" customHeight="1">
      <c r="L559" s="71"/>
    </row>
    <row r="560" ht="14.25" customHeight="1">
      <c r="L560" s="71"/>
    </row>
    <row r="561" ht="14.25" customHeight="1">
      <c r="L561" s="71"/>
    </row>
    <row r="562" ht="14.25" customHeight="1">
      <c r="L562" s="71"/>
    </row>
    <row r="563" ht="14.25" customHeight="1">
      <c r="L563" s="71"/>
    </row>
    <row r="564" ht="14.25" customHeight="1">
      <c r="L564" s="71"/>
    </row>
    <row r="565" ht="14.25" customHeight="1">
      <c r="L565" s="71"/>
    </row>
    <row r="566" ht="14.25" customHeight="1">
      <c r="L566" s="71"/>
    </row>
    <row r="567" ht="14.25" customHeight="1">
      <c r="L567" s="71"/>
    </row>
    <row r="568" ht="14.25" customHeight="1">
      <c r="L568" s="71"/>
    </row>
    <row r="569" ht="14.25" customHeight="1">
      <c r="L569" s="71"/>
    </row>
    <row r="570" ht="14.25" customHeight="1">
      <c r="L570" s="71"/>
    </row>
    <row r="571" ht="14.25" customHeight="1">
      <c r="L571" s="71"/>
    </row>
    <row r="572" ht="14.25" customHeight="1">
      <c r="L572" s="71"/>
    </row>
    <row r="573" ht="14.25" customHeight="1">
      <c r="L573" s="71"/>
    </row>
    <row r="574" ht="14.25" customHeight="1">
      <c r="L574" s="71"/>
    </row>
    <row r="575" ht="14.25" customHeight="1">
      <c r="L575" s="71"/>
    </row>
    <row r="576" ht="14.25" customHeight="1">
      <c r="L576" s="71"/>
    </row>
    <row r="577" ht="14.25" customHeight="1">
      <c r="L577" s="71"/>
    </row>
    <row r="578" ht="14.25" customHeight="1">
      <c r="L578" s="71"/>
    </row>
    <row r="579" ht="14.25" customHeight="1">
      <c r="L579" s="71"/>
    </row>
    <row r="580" ht="14.25" customHeight="1">
      <c r="L580" s="71"/>
    </row>
    <row r="581" ht="14.25" customHeight="1">
      <c r="L581" s="71"/>
    </row>
    <row r="582" ht="14.25" customHeight="1">
      <c r="L582" s="71"/>
    </row>
    <row r="583" ht="14.25" customHeight="1">
      <c r="L583" s="71"/>
    </row>
    <row r="584" ht="14.25" customHeight="1">
      <c r="L584" s="71"/>
    </row>
    <row r="585" ht="14.25" customHeight="1">
      <c r="L585" s="71"/>
    </row>
    <row r="586" ht="14.25" customHeight="1">
      <c r="L586" s="71"/>
    </row>
    <row r="587" ht="14.25" customHeight="1">
      <c r="L587" s="71"/>
    </row>
    <row r="588" ht="14.25" customHeight="1">
      <c r="L588" s="71"/>
    </row>
    <row r="589" ht="14.25" customHeight="1">
      <c r="L589" s="71"/>
    </row>
    <row r="590" ht="14.25" customHeight="1">
      <c r="L590" s="71"/>
    </row>
    <row r="591" ht="14.25" customHeight="1">
      <c r="L591" s="71"/>
    </row>
    <row r="592" ht="14.25" customHeight="1">
      <c r="L592" s="71"/>
    </row>
    <row r="593" ht="14.25" customHeight="1">
      <c r="L593" s="71"/>
    </row>
    <row r="594" ht="14.25" customHeight="1">
      <c r="L594" s="71"/>
    </row>
    <row r="595" ht="14.25" customHeight="1">
      <c r="L595" s="71"/>
    </row>
    <row r="596" ht="14.25" customHeight="1">
      <c r="L596" s="71"/>
    </row>
    <row r="597" ht="14.25" customHeight="1">
      <c r="L597" s="71"/>
    </row>
    <row r="598" ht="14.25" customHeight="1">
      <c r="L598" s="71"/>
    </row>
    <row r="599" ht="14.25" customHeight="1">
      <c r="L599" s="71"/>
    </row>
    <row r="600" ht="14.25" customHeight="1">
      <c r="L600" s="71"/>
    </row>
    <row r="601" ht="14.25" customHeight="1">
      <c r="L601" s="71"/>
    </row>
    <row r="602" ht="14.25" customHeight="1">
      <c r="L602" s="71"/>
    </row>
    <row r="603" ht="14.25" customHeight="1">
      <c r="L603" s="71"/>
    </row>
    <row r="604" ht="14.25" customHeight="1">
      <c r="L604" s="71"/>
    </row>
    <row r="605" ht="14.25" customHeight="1">
      <c r="L605" s="71"/>
    </row>
    <row r="606" ht="14.25" customHeight="1">
      <c r="L606" s="71"/>
    </row>
    <row r="607" ht="14.25" customHeight="1">
      <c r="L607" s="71"/>
    </row>
    <row r="608" ht="14.25" customHeight="1">
      <c r="L608" s="71"/>
    </row>
    <row r="609" ht="14.25" customHeight="1">
      <c r="L609" s="71"/>
    </row>
    <row r="610" ht="14.25" customHeight="1">
      <c r="L610" s="71"/>
    </row>
    <row r="611" ht="14.25" customHeight="1">
      <c r="L611" s="71"/>
    </row>
    <row r="612" ht="14.25" customHeight="1">
      <c r="L612" s="71"/>
    </row>
    <row r="613" ht="14.25" customHeight="1">
      <c r="L613" s="71"/>
    </row>
    <row r="614" ht="14.25" customHeight="1">
      <c r="L614" s="71"/>
    </row>
    <row r="615" ht="14.25" customHeight="1">
      <c r="L615" s="71"/>
    </row>
    <row r="616" ht="14.25" customHeight="1">
      <c r="L616" s="71"/>
    </row>
    <row r="617" ht="14.25" customHeight="1">
      <c r="L617" s="71"/>
    </row>
    <row r="618" ht="14.25" customHeight="1">
      <c r="L618" s="71"/>
    </row>
    <row r="619" ht="14.25" customHeight="1">
      <c r="L619" s="71"/>
    </row>
    <row r="620" ht="14.25" customHeight="1">
      <c r="L620" s="71"/>
    </row>
    <row r="621" ht="14.25" customHeight="1">
      <c r="L621" s="71"/>
    </row>
    <row r="622" ht="14.25" customHeight="1">
      <c r="L622" s="71"/>
    </row>
    <row r="623" ht="14.25" customHeight="1">
      <c r="L623" s="71"/>
    </row>
    <row r="624" ht="14.25" customHeight="1">
      <c r="L624" s="71"/>
    </row>
    <row r="625" ht="14.25" customHeight="1">
      <c r="L625" s="71"/>
    </row>
    <row r="626" ht="14.25" customHeight="1">
      <c r="L626" s="71"/>
    </row>
    <row r="627" ht="14.25" customHeight="1">
      <c r="L627" s="71"/>
    </row>
    <row r="628" ht="14.25" customHeight="1">
      <c r="L628" s="71"/>
    </row>
    <row r="629" ht="14.25" customHeight="1">
      <c r="L629" s="71"/>
    </row>
    <row r="630" ht="14.25" customHeight="1">
      <c r="L630" s="71"/>
    </row>
    <row r="631" ht="14.25" customHeight="1">
      <c r="L631" s="71"/>
    </row>
    <row r="632" ht="14.25" customHeight="1">
      <c r="L632" s="71"/>
    </row>
    <row r="633" ht="14.25" customHeight="1">
      <c r="L633" s="71"/>
    </row>
    <row r="634" ht="14.25" customHeight="1">
      <c r="L634" s="71"/>
    </row>
    <row r="635" ht="14.25" customHeight="1">
      <c r="L635" s="71"/>
    </row>
    <row r="636" ht="14.25" customHeight="1">
      <c r="L636" s="71"/>
    </row>
    <row r="637" ht="14.25" customHeight="1">
      <c r="L637" s="71"/>
    </row>
    <row r="638" ht="14.25" customHeight="1">
      <c r="L638" s="71"/>
    </row>
    <row r="639" ht="14.25" customHeight="1">
      <c r="L639" s="71"/>
    </row>
    <row r="640" ht="14.25" customHeight="1">
      <c r="L640" s="71"/>
    </row>
    <row r="641" ht="14.25" customHeight="1">
      <c r="L641" s="71"/>
    </row>
    <row r="642" ht="14.25" customHeight="1">
      <c r="L642" s="71"/>
    </row>
    <row r="643" ht="14.25" customHeight="1">
      <c r="L643" s="71"/>
    </row>
    <row r="644" ht="14.25" customHeight="1">
      <c r="L644" s="71"/>
    </row>
    <row r="645" ht="14.25" customHeight="1">
      <c r="L645" s="71"/>
    </row>
    <row r="646" ht="14.25" customHeight="1">
      <c r="L646" s="71"/>
    </row>
    <row r="647" ht="14.25" customHeight="1">
      <c r="L647" s="71"/>
    </row>
    <row r="648" ht="14.25" customHeight="1">
      <c r="L648" s="71"/>
    </row>
    <row r="649" ht="14.25" customHeight="1">
      <c r="L649" s="71"/>
    </row>
    <row r="650" ht="14.25" customHeight="1">
      <c r="L650" s="71"/>
    </row>
    <row r="651" ht="14.25" customHeight="1">
      <c r="L651" s="71"/>
    </row>
    <row r="652" ht="14.25" customHeight="1">
      <c r="L652" s="71"/>
    </row>
    <row r="653" ht="14.25" customHeight="1">
      <c r="L653" s="71"/>
    </row>
    <row r="654" ht="14.25" customHeight="1">
      <c r="L654" s="71"/>
    </row>
    <row r="655" ht="14.25" customHeight="1">
      <c r="L655" s="71"/>
    </row>
    <row r="656" ht="14.25" customHeight="1">
      <c r="L656" s="71"/>
    </row>
    <row r="657" ht="14.25" customHeight="1">
      <c r="L657" s="71"/>
    </row>
    <row r="658" ht="14.25" customHeight="1">
      <c r="L658" s="71"/>
    </row>
    <row r="659" ht="14.25" customHeight="1">
      <c r="L659" s="71"/>
    </row>
    <row r="660" ht="14.25" customHeight="1">
      <c r="L660" s="71"/>
    </row>
    <row r="661" ht="14.25" customHeight="1">
      <c r="L661" s="71"/>
    </row>
    <row r="662" ht="14.25" customHeight="1">
      <c r="L662" s="71"/>
    </row>
    <row r="663" ht="14.25" customHeight="1">
      <c r="L663" s="71"/>
    </row>
    <row r="664" ht="14.25" customHeight="1">
      <c r="L664" s="71"/>
    </row>
    <row r="665" ht="14.25" customHeight="1">
      <c r="L665" s="71"/>
    </row>
    <row r="666" ht="14.25" customHeight="1">
      <c r="L666" s="71"/>
    </row>
    <row r="667" ht="14.25" customHeight="1">
      <c r="L667" s="71"/>
    </row>
    <row r="668" ht="14.25" customHeight="1">
      <c r="L668" s="71"/>
    </row>
    <row r="669" ht="14.25" customHeight="1">
      <c r="L669" s="71"/>
    </row>
    <row r="670" ht="14.25" customHeight="1">
      <c r="L670" s="71"/>
    </row>
    <row r="671" ht="14.25" customHeight="1">
      <c r="L671" s="71"/>
    </row>
    <row r="672" ht="14.25" customHeight="1">
      <c r="L672" s="71"/>
    </row>
    <row r="673" ht="14.25" customHeight="1">
      <c r="L673" s="71"/>
    </row>
    <row r="674" ht="14.25" customHeight="1">
      <c r="L674" s="71"/>
    </row>
    <row r="675" ht="14.25" customHeight="1">
      <c r="L675" s="71"/>
    </row>
    <row r="676" ht="14.25" customHeight="1">
      <c r="L676" s="71"/>
    </row>
    <row r="677" ht="14.25" customHeight="1">
      <c r="L677" s="71"/>
    </row>
    <row r="678" ht="14.25" customHeight="1">
      <c r="L678" s="71"/>
    </row>
    <row r="679" ht="14.25" customHeight="1">
      <c r="L679" s="71"/>
    </row>
    <row r="680" ht="14.25" customHeight="1">
      <c r="L680" s="71"/>
    </row>
    <row r="681" ht="14.25" customHeight="1">
      <c r="L681" s="71"/>
    </row>
    <row r="682" ht="14.25" customHeight="1">
      <c r="L682" s="71"/>
    </row>
    <row r="683" ht="14.25" customHeight="1">
      <c r="L683" s="71"/>
    </row>
    <row r="684" ht="14.25" customHeight="1">
      <c r="L684" s="71"/>
    </row>
    <row r="685" ht="14.25" customHeight="1">
      <c r="L685" s="71"/>
    </row>
    <row r="686" ht="14.25" customHeight="1">
      <c r="L686" s="71"/>
    </row>
    <row r="687" ht="14.25" customHeight="1">
      <c r="L687" s="71"/>
    </row>
    <row r="688" ht="14.25" customHeight="1">
      <c r="L688" s="71"/>
    </row>
    <row r="689" ht="14.25" customHeight="1">
      <c r="L689" s="71"/>
    </row>
    <row r="690" ht="14.25" customHeight="1">
      <c r="L690" s="71"/>
    </row>
    <row r="691" ht="14.25" customHeight="1">
      <c r="L691" s="71"/>
    </row>
    <row r="692" ht="14.25" customHeight="1">
      <c r="L692" s="71"/>
    </row>
    <row r="693" ht="14.25" customHeight="1">
      <c r="L693" s="71"/>
    </row>
    <row r="694" ht="14.25" customHeight="1">
      <c r="L694" s="71"/>
    </row>
    <row r="695" ht="14.25" customHeight="1">
      <c r="L695" s="71"/>
    </row>
    <row r="696" ht="14.25" customHeight="1">
      <c r="L696" s="71"/>
    </row>
    <row r="697" ht="14.25" customHeight="1">
      <c r="L697" s="71"/>
    </row>
    <row r="698" ht="14.25" customHeight="1">
      <c r="L698" s="71"/>
    </row>
    <row r="699" ht="14.25" customHeight="1">
      <c r="L699" s="71"/>
    </row>
    <row r="700" ht="14.25" customHeight="1">
      <c r="L700" s="71"/>
    </row>
    <row r="701" ht="14.25" customHeight="1">
      <c r="L701" s="71"/>
    </row>
    <row r="702" ht="14.25" customHeight="1">
      <c r="L702" s="71"/>
    </row>
    <row r="703" ht="14.25" customHeight="1">
      <c r="L703" s="71"/>
    </row>
    <row r="704" ht="14.25" customHeight="1">
      <c r="L704" s="71"/>
    </row>
    <row r="705" ht="14.25" customHeight="1">
      <c r="L705" s="71"/>
    </row>
    <row r="706" ht="14.25" customHeight="1">
      <c r="L706" s="71"/>
    </row>
    <row r="707" ht="14.25" customHeight="1">
      <c r="L707" s="71"/>
    </row>
    <row r="708" ht="14.25" customHeight="1">
      <c r="L708" s="71"/>
    </row>
    <row r="709" ht="14.25" customHeight="1">
      <c r="L709" s="71"/>
    </row>
    <row r="710" ht="14.25" customHeight="1">
      <c r="L710" s="71"/>
    </row>
    <row r="711" ht="14.25" customHeight="1">
      <c r="L711" s="71"/>
    </row>
    <row r="712" ht="14.25" customHeight="1">
      <c r="L712" s="71"/>
    </row>
    <row r="713" ht="14.25" customHeight="1">
      <c r="L713" s="71"/>
    </row>
    <row r="714" ht="14.25" customHeight="1">
      <c r="L714" s="71"/>
    </row>
    <row r="715" ht="14.25" customHeight="1">
      <c r="L715" s="71"/>
    </row>
    <row r="716" ht="14.25" customHeight="1">
      <c r="L716" s="71"/>
    </row>
    <row r="717" ht="14.25" customHeight="1">
      <c r="L717" s="71"/>
    </row>
    <row r="718" ht="14.25" customHeight="1">
      <c r="L718" s="71"/>
    </row>
    <row r="719" ht="14.25" customHeight="1">
      <c r="L719" s="71"/>
    </row>
    <row r="720" ht="14.25" customHeight="1">
      <c r="L720" s="71"/>
    </row>
    <row r="721" ht="14.25" customHeight="1">
      <c r="L721" s="71"/>
    </row>
    <row r="722" ht="14.25" customHeight="1">
      <c r="L722" s="71"/>
    </row>
    <row r="723" ht="14.25" customHeight="1">
      <c r="L723" s="71"/>
    </row>
    <row r="724" ht="14.25" customHeight="1">
      <c r="L724" s="71"/>
    </row>
    <row r="725" ht="14.25" customHeight="1">
      <c r="L725" s="71"/>
    </row>
    <row r="726" ht="14.25" customHeight="1">
      <c r="L726" s="71"/>
    </row>
    <row r="727" ht="14.25" customHeight="1">
      <c r="L727" s="71"/>
    </row>
    <row r="728" ht="14.25" customHeight="1">
      <c r="L728" s="71"/>
    </row>
    <row r="729" ht="14.25" customHeight="1">
      <c r="L729" s="71"/>
    </row>
    <row r="730" ht="14.25" customHeight="1">
      <c r="L730" s="71"/>
    </row>
    <row r="731" ht="14.25" customHeight="1">
      <c r="L731" s="71"/>
    </row>
    <row r="732" ht="14.25" customHeight="1">
      <c r="L732" s="71"/>
    </row>
    <row r="733" ht="14.25" customHeight="1">
      <c r="L733" s="71"/>
    </row>
    <row r="734" ht="14.25" customHeight="1">
      <c r="L734" s="71"/>
    </row>
    <row r="735" ht="14.25" customHeight="1">
      <c r="L735" s="71"/>
    </row>
    <row r="736" ht="14.25" customHeight="1">
      <c r="L736" s="71"/>
    </row>
    <row r="737" ht="14.25" customHeight="1">
      <c r="L737" s="71"/>
    </row>
    <row r="738" ht="14.25" customHeight="1">
      <c r="L738" s="71"/>
    </row>
    <row r="739" ht="14.25" customHeight="1">
      <c r="L739" s="71"/>
    </row>
    <row r="740" ht="14.25" customHeight="1">
      <c r="L740" s="71"/>
    </row>
    <row r="741" ht="14.25" customHeight="1">
      <c r="L741" s="71"/>
    </row>
    <row r="742" ht="14.25" customHeight="1">
      <c r="L742" s="71"/>
    </row>
    <row r="743" ht="14.25" customHeight="1">
      <c r="L743" s="71"/>
    </row>
    <row r="744" ht="14.25" customHeight="1">
      <c r="L744" s="71"/>
    </row>
    <row r="745" ht="14.25" customHeight="1">
      <c r="L745" s="71"/>
    </row>
    <row r="746" ht="14.25" customHeight="1">
      <c r="L746" s="71"/>
    </row>
    <row r="747" ht="14.25" customHeight="1">
      <c r="L747" s="71"/>
    </row>
    <row r="748" ht="14.25" customHeight="1">
      <c r="L748" s="71"/>
    </row>
    <row r="749" ht="14.25" customHeight="1">
      <c r="L749" s="71"/>
    </row>
    <row r="750" ht="14.25" customHeight="1">
      <c r="L750" s="71"/>
    </row>
    <row r="751" ht="14.25" customHeight="1">
      <c r="L751" s="71"/>
    </row>
    <row r="752" ht="14.25" customHeight="1">
      <c r="L752" s="71"/>
    </row>
    <row r="753" ht="14.25" customHeight="1">
      <c r="L753" s="71"/>
    </row>
    <row r="754" ht="14.25" customHeight="1">
      <c r="L754" s="71"/>
    </row>
    <row r="755" ht="14.25" customHeight="1">
      <c r="L755" s="71"/>
    </row>
    <row r="756" ht="14.25" customHeight="1">
      <c r="L756" s="71"/>
    </row>
    <row r="757" ht="14.25" customHeight="1">
      <c r="L757" s="71"/>
    </row>
    <row r="758" ht="14.25" customHeight="1">
      <c r="L758" s="71"/>
    </row>
    <row r="759" ht="14.25" customHeight="1">
      <c r="L759" s="71"/>
    </row>
    <row r="760" ht="14.25" customHeight="1">
      <c r="L760" s="71"/>
    </row>
    <row r="761" ht="14.25" customHeight="1">
      <c r="L761" s="71"/>
    </row>
    <row r="762" ht="14.25" customHeight="1">
      <c r="L762" s="71"/>
    </row>
    <row r="763" ht="14.25" customHeight="1">
      <c r="L763" s="71"/>
    </row>
    <row r="764" ht="14.25" customHeight="1">
      <c r="L764" s="71"/>
    </row>
    <row r="765" ht="14.25" customHeight="1">
      <c r="L765" s="71"/>
    </row>
    <row r="766" ht="14.25" customHeight="1">
      <c r="L766" s="71"/>
    </row>
    <row r="767" ht="14.25" customHeight="1">
      <c r="L767" s="71"/>
    </row>
    <row r="768" ht="14.25" customHeight="1">
      <c r="L768" s="71"/>
    </row>
    <row r="769" ht="14.25" customHeight="1">
      <c r="L769" s="71"/>
    </row>
    <row r="770" ht="14.25" customHeight="1">
      <c r="L770" s="71"/>
    </row>
    <row r="771" ht="14.25" customHeight="1">
      <c r="L771" s="71"/>
    </row>
    <row r="772" ht="14.25" customHeight="1">
      <c r="L772" s="71"/>
    </row>
    <row r="773" ht="14.25" customHeight="1">
      <c r="L773" s="71"/>
    </row>
    <row r="774" ht="14.25" customHeight="1">
      <c r="L774" s="71"/>
    </row>
    <row r="775" ht="14.25" customHeight="1">
      <c r="L775" s="71"/>
    </row>
    <row r="776" ht="14.25" customHeight="1">
      <c r="L776" s="71"/>
    </row>
    <row r="777" ht="14.25" customHeight="1">
      <c r="L777" s="71"/>
    </row>
    <row r="778" ht="14.25" customHeight="1">
      <c r="L778" s="71"/>
    </row>
    <row r="779" ht="14.25" customHeight="1">
      <c r="L779" s="71"/>
    </row>
    <row r="780" ht="14.25" customHeight="1">
      <c r="L780" s="71"/>
    </row>
    <row r="781" ht="14.25" customHeight="1">
      <c r="L781" s="71"/>
    </row>
    <row r="782" ht="14.25" customHeight="1">
      <c r="L782" s="71"/>
    </row>
    <row r="783" ht="14.25" customHeight="1">
      <c r="L783" s="71"/>
    </row>
    <row r="784" ht="14.25" customHeight="1">
      <c r="L784" s="71"/>
    </row>
    <row r="785" ht="14.25" customHeight="1">
      <c r="L785" s="71"/>
    </row>
    <row r="786" ht="14.25" customHeight="1">
      <c r="L786" s="71"/>
    </row>
    <row r="787" ht="14.25" customHeight="1">
      <c r="L787" s="71"/>
    </row>
    <row r="788" ht="14.25" customHeight="1">
      <c r="L788" s="71"/>
    </row>
    <row r="789" ht="14.25" customHeight="1">
      <c r="L789" s="71"/>
    </row>
    <row r="790" ht="14.25" customHeight="1">
      <c r="L790" s="71"/>
    </row>
    <row r="791" ht="14.25" customHeight="1">
      <c r="L791" s="71"/>
    </row>
    <row r="792" ht="14.25" customHeight="1">
      <c r="L792" s="71"/>
    </row>
    <row r="793" ht="14.25" customHeight="1">
      <c r="L793" s="71"/>
    </row>
    <row r="794" ht="14.25" customHeight="1">
      <c r="L794" s="71"/>
    </row>
    <row r="795" ht="14.25" customHeight="1">
      <c r="L795" s="71"/>
    </row>
    <row r="796" ht="14.25" customHeight="1">
      <c r="L796" s="71"/>
    </row>
    <row r="797" ht="14.25" customHeight="1">
      <c r="L797" s="71"/>
    </row>
    <row r="798" ht="14.25" customHeight="1">
      <c r="L798" s="71"/>
    </row>
    <row r="799" ht="14.25" customHeight="1">
      <c r="L799" s="71"/>
    </row>
    <row r="800" ht="14.25" customHeight="1">
      <c r="L800" s="71"/>
    </row>
    <row r="801" ht="14.25" customHeight="1">
      <c r="L801" s="71"/>
    </row>
    <row r="802" ht="14.25" customHeight="1">
      <c r="L802" s="71"/>
    </row>
    <row r="803" ht="14.25" customHeight="1">
      <c r="L803" s="71"/>
    </row>
    <row r="804" ht="14.25" customHeight="1">
      <c r="L804" s="71"/>
    </row>
    <row r="805" ht="14.25" customHeight="1">
      <c r="L805" s="71"/>
    </row>
    <row r="806" ht="14.25" customHeight="1">
      <c r="L806" s="71"/>
    </row>
    <row r="807" ht="14.25" customHeight="1">
      <c r="L807" s="71"/>
    </row>
    <row r="808" ht="14.25" customHeight="1">
      <c r="L808" s="71"/>
    </row>
    <row r="809" ht="14.25" customHeight="1">
      <c r="L809" s="71"/>
    </row>
    <row r="810" ht="14.25" customHeight="1">
      <c r="L810" s="71"/>
    </row>
    <row r="811" ht="14.25" customHeight="1">
      <c r="L811" s="71"/>
    </row>
    <row r="812" ht="14.25" customHeight="1">
      <c r="L812" s="71"/>
    </row>
    <row r="813" ht="14.25" customHeight="1">
      <c r="L813" s="71"/>
    </row>
    <row r="814" ht="14.25" customHeight="1">
      <c r="L814" s="71"/>
    </row>
    <row r="815" ht="14.25" customHeight="1">
      <c r="L815" s="71"/>
    </row>
    <row r="816" ht="14.25" customHeight="1">
      <c r="L816" s="71"/>
    </row>
    <row r="817" ht="14.25" customHeight="1">
      <c r="L817" s="71"/>
    </row>
    <row r="818" ht="14.25" customHeight="1">
      <c r="L818" s="71"/>
    </row>
    <row r="819" ht="14.25" customHeight="1">
      <c r="L819" s="71"/>
    </row>
    <row r="820" ht="14.25" customHeight="1">
      <c r="L820" s="71"/>
    </row>
    <row r="821" ht="14.25" customHeight="1">
      <c r="L821" s="71"/>
    </row>
    <row r="822" ht="14.25" customHeight="1">
      <c r="L822" s="71"/>
    </row>
    <row r="823" ht="14.25" customHeight="1">
      <c r="L823" s="71"/>
    </row>
    <row r="824" ht="14.25" customHeight="1">
      <c r="L824" s="71"/>
    </row>
    <row r="825" ht="14.25" customHeight="1">
      <c r="L825" s="71"/>
    </row>
    <row r="826" ht="14.25" customHeight="1">
      <c r="L826" s="71"/>
    </row>
    <row r="827" ht="14.25" customHeight="1">
      <c r="L827" s="71"/>
    </row>
    <row r="828" ht="14.25" customHeight="1">
      <c r="L828" s="71"/>
    </row>
    <row r="829" ht="14.25" customHeight="1">
      <c r="L829" s="71"/>
    </row>
    <row r="830" ht="14.25" customHeight="1">
      <c r="L830" s="71"/>
    </row>
    <row r="831" ht="14.25" customHeight="1">
      <c r="L831" s="71"/>
    </row>
    <row r="832" ht="14.25" customHeight="1">
      <c r="L832" s="71"/>
    </row>
    <row r="833" ht="14.25" customHeight="1">
      <c r="L833" s="71"/>
    </row>
    <row r="834" ht="14.25" customHeight="1">
      <c r="L834" s="71"/>
    </row>
    <row r="835" ht="14.25" customHeight="1">
      <c r="L835" s="71"/>
    </row>
    <row r="836" ht="14.25" customHeight="1">
      <c r="L836" s="71"/>
    </row>
    <row r="837" ht="14.25" customHeight="1">
      <c r="L837" s="71"/>
    </row>
    <row r="838" ht="14.25" customHeight="1">
      <c r="L838" s="71"/>
    </row>
    <row r="839" ht="14.25" customHeight="1">
      <c r="L839" s="71"/>
    </row>
    <row r="840" ht="14.25" customHeight="1">
      <c r="L840" s="71"/>
    </row>
    <row r="841" ht="14.25" customHeight="1">
      <c r="L841" s="71"/>
    </row>
    <row r="842" ht="14.25" customHeight="1">
      <c r="L842" s="71"/>
    </row>
    <row r="843" ht="14.25" customHeight="1">
      <c r="L843" s="71"/>
    </row>
    <row r="844" ht="14.25" customHeight="1">
      <c r="L844" s="71"/>
    </row>
    <row r="845" ht="14.25" customHeight="1">
      <c r="L845" s="71"/>
    </row>
    <row r="846" ht="14.25" customHeight="1">
      <c r="L846" s="71"/>
    </row>
    <row r="847" ht="14.25" customHeight="1">
      <c r="L847" s="71"/>
    </row>
    <row r="848" ht="14.25" customHeight="1">
      <c r="L848" s="71"/>
    </row>
    <row r="849" ht="14.25" customHeight="1">
      <c r="L849" s="71"/>
    </row>
    <row r="850" ht="14.25" customHeight="1">
      <c r="L850" s="71"/>
    </row>
    <row r="851" ht="14.25" customHeight="1">
      <c r="L851" s="71"/>
    </row>
    <row r="852" ht="14.25" customHeight="1">
      <c r="L852" s="71"/>
    </row>
    <row r="853" ht="14.25" customHeight="1">
      <c r="L853" s="71"/>
    </row>
    <row r="854" ht="14.25" customHeight="1">
      <c r="L854" s="71"/>
    </row>
    <row r="855" ht="14.25" customHeight="1">
      <c r="L855" s="71"/>
    </row>
    <row r="856" ht="14.25" customHeight="1">
      <c r="L856" s="71"/>
    </row>
    <row r="857" ht="14.25" customHeight="1">
      <c r="L857" s="71"/>
    </row>
    <row r="858" ht="14.25" customHeight="1">
      <c r="L858" s="71"/>
    </row>
    <row r="859" ht="14.25" customHeight="1">
      <c r="L859" s="71"/>
    </row>
    <row r="860" ht="14.25" customHeight="1">
      <c r="L860" s="71"/>
    </row>
    <row r="861" ht="14.25" customHeight="1">
      <c r="L861" s="71"/>
    </row>
    <row r="862" ht="14.25" customHeight="1">
      <c r="L862" s="71"/>
    </row>
    <row r="863" ht="14.25" customHeight="1">
      <c r="L863" s="71"/>
    </row>
    <row r="864" ht="14.25" customHeight="1">
      <c r="L864" s="71"/>
    </row>
    <row r="865" ht="14.25" customHeight="1">
      <c r="L865" s="71"/>
    </row>
    <row r="866" ht="14.25" customHeight="1">
      <c r="L866" s="71"/>
    </row>
    <row r="867" ht="14.25" customHeight="1">
      <c r="L867" s="71"/>
    </row>
    <row r="868" ht="14.25" customHeight="1">
      <c r="L868" s="71"/>
    </row>
    <row r="869" ht="14.25" customHeight="1">
      <c r="L869" s="71"/>
    </row>
    <row r="870" ht="14.25" customHeight="1">
      <c r="L870" s="71"/>
    </row>
    <row r="871" ht="14.25" customHeight="1">
      <c r="L871" s="71"/>
    </row>
    <row r="872" ht="14.25" customHeight="1">
      <c r="L872" s="71"/>
    </row>
    <row r="873" ht="14.25" customHeight="1">
      <c r="L873" s="71"/>
    </row>
    <row r="874" ht="14.25" customHeight="1">
      <c r="L874" s="71"/>
    </row>
    <row r="875" ht="14.25" customHeight="1">
      <c r="L875" s="71"/>
    </row>
    <row r="876" ht="14.25" customHeight="1">
      <c r="L876" s="71"/>
    </row>
    <row r="877" ht="14.25" customHeight="1">
      <c r="L877" s="71"/>
    </row>
    <row r="878" ht="14.25" customHeight="1">
      <c r="L878" s="71"/>
    </row>
    <row r="879" ht="14.25" customHeight="1">
      <c r="L879" s="71"/>
    </row>
    <row r="880" ht="14.25" customHeight="1">
      <c r="L880" s="71"/>
    </row>
    <row r="881" ht="14.25" customHeight="1">
      <c r="L881" s="71"/>
    </row>
    <row r="882" ht="14.25" customHeight="1">
      <c r="L882" s="71"/>
    </row>
    <row r="883" ht="14.25" customHeight="1">
      <c r="L883" s="71"/>
    </row>
    <row r="884" ht="14.25" customHeight="1">
      <c r="L884" s="71"/>
    </row>
    <row r="885" ht="14.25" customHeight="1">
      <c r="L885" s="71"/>
    </row>
    <row r="886" ht="14.25" customHeight="1">
      <c r="L886" s="71"/>
    </row>
    <row r="887" ht="14.25" customHeight="1">
      <c r="L887" s="71"/>
    </row>
    <row r="888" ht="14.25" customHeight="1">
      <c r="L888" s="71"/>
    </row>
    <row r="889" ht="14.25" customHeight="1">
      <c r="L889" s="71"/>
    </row>
    <row r="890" ht="14.25" customHeight="1">
      <c r="L890" s="71"/>
    </row>
    <row r="891" ht="14.25" customHeight="1">
      <c r="L891" s="71"/>
    </row>
    <row r="892" ht="14.25" customHeight="1">
      <c r="L892" s="71"/>
    </row>
    <row r="893" ht="14.25" customHeight="1">
      <c r="L893" s="71"/>
    </row>
    <row r="894" ht="14.25" customHeight="1">
      <c r="L894" s="71"/>
    </row>
    <row r="895" ht="14.25" customHeight="1">
      <c r="L895" s="71"/>
    </row>
    <row r="896" ht="14.25" customHeight="1">
      <c r="L896" s="71"/>
    </row>
    <row r="897" ht="14.25" customHeight="1">
      <c r="L897" s="71"/>
    </row>
    <row r="898" ht="14.25" customHeight="1">
      <c r="L898" s="71"/>
    </row>
    <row r="899" ht="14.25" customHeight="1">
      <c r="L899" s="71"/>
    </row>
    <row r="900" ht="14.25" customHeight="1">
      <c r="L900" s="71"/>
    </row>
    <row r="901" ht="14.25" customHeight="1">
      <c r="L901" s="71"/>
    </row>
    <row r="902" ht="14.25" customHeight="1">
      <c r="L902" s="71"/>
    </row>
    <row r="903" ht="14.25" customHeight="1">
      <c r="L903" s="71"/>
    </row>
    <row r="904" ht="14.25" customHeight="1">
      <c r="L904" s="71"/>
    </row>
    <row r="905" ht="14.25" customHeight="1">
      <c r="L905" s="71"/>
    </row>
    <row r="906" ht="14.25" customHeight="1">
      <c r="L906" s="71"/>
    </row>
    <row r="907" ht="14.25" customHeight="1">
      <c r="L907" s="71"/>
    </row>
    <row r="908" ht="14.25" customHeight="1">
      <c r="L908" s="71"/>
    </row>
    <row r="909" ht="14.25" customHeight="1">
      <c r="L909" s="71"/>
    </row>
    <row r="910" ht="14.25" customHeight="1">
      <c r="L910" s="71"/>
    </row>
    <row r="911" ht="14.25" customHeight="1">
      <c r="L911" s="71"/>
    </row>
    <row r="912" ht="14.25" customHeight="1">
      <c r="L912" s="71"/>
    </row>
    <row r="913" ht="14.25" customHeight="1">
      <c r="L913" s="71"/>
    </row>
    <row r="914" ht="14.25" customHeight="1">
      <c r="L914" s="71"/>
    </row>
    <row r="915" ht="14.25" customHeight="1">
      <c r="L915" s="71"/>
    </row>
    <row r="916" ht="14.25" customHeight="1">
      <c r="L916" s="71"/>
    </row>
    <row r="917" ht="14.25" customHeight="1">
      <c r="L917" s="71"/>
    </row>
    <row r="918" ht="14.25" customHeight="1">
      <c r="L918" s="71"/>
    </row>
    <row r="919" ht="14.25" customHeight="1">
      <c r="L919" s="71"/>
    </row>
    <row r="920" ht="14.25" customHeight="1">
      <c r="L920" s="71"/>
    </row>
    <row r="921" ht="14.25" customHeight="1">
      <c r="L921" s="71"/>
    </row>
    <row r="922" ht="14.25" customHeight="1">
      <c r="L922" s="71"/>
    </row>
    <row r="923" ht="14.25" customHeight="1">
      <c r="L923" s="71"/>
    </row>
    <row r="924" ht="14.25" customHeight="1">
      <c r="L924" s="71"/>
    </row>
    <row r="925" ht="14.25" customHeight="1">
      <c r="L925" s="71"/>
    </row>
    <row r="926" ht="14.25" customHeight="1">
      <c r="L926" s="71"/>
    </row>
    <row r="927" ht="14.25" customHeight="1">
      <c r="L927" s="71"/>
    </row>
    <row r="928" ht="14.25" customHeight="1">
      <c r="L928" s="71"/>
    </row>
    <row r="929" ht="14.25" customHeight="1">
      <c r="L929" s="71"/>
    </row>
    <row r="930" ht="14.25" customHeight="1">
      <c r="L930" s="71"/>
    </row>
    <row r="931" ht="14.25" customHeight="1">
      <c r="L931" s="71"/>
    </row>
    <row r="932" ht="14.25" customHeight="1">
      <c r="L932" s="71"/>
    </row>
    <row r="933" ht="14.25" customHeight="1">
      <c r="L933" s="71"/>
    </row>
    <row r="934" ht="14.25" customHeight="1">
      <c r="L934" s="71"/>
    </row>
    <row r="935" ht="14.25" customHeight="1">
      <c r="L935" s="71"/>
    </row>
    <row r="936" ht="14.25" customHeight="1">
      <c r="L936" s="71"/>
    </row>
    <row r="937" ht="14.25" customHeight="1">
      <c r="L937" s="71"/>
    </row>
    <row r="938" ht="14.25" customHeight="1">
      <c r="L938" s="71"/>
    </row>
    <row r="939" ht="14.25" customHeight="1">
      <c r="L939" s="71"/>
    </row>
    <row r="940" ht="14.25" customHeight="1">
      <c r="L940" s="71"/>
    </row>
    <row r="941" ht="14.25" customHeight="1">
      <c r="L941" s="71"/>
    </row>
    <row r="942" ht="14.25" customHeight="1">
      <c r="L942" s="71"/>
    </row>
    <row r="943" ht="14.25" customHeight="1">
      <c r="L943" s="71"/>
    </row>
    <row r="944" ht="14.25" customHeight="1">
      <c r="L944" s="71"/>
    </row>
    <row r="945" ht="14.25" customHeight="1">
      <c r="L945" s="71"/>
    </row>
    <row r="946" ht="14.25" customHeight="1">
      <c r="L946" s="71"/>
    </row>
    <row r="947" ht="14.25" customHeight="1">
      <c r="L947" s="71"/>
    </row>
    <row r="948" ht="14.25" customHeight="1">
      <c r="L948" s="71"/>
    </row>
    <row r="949" ht="14.25" customHeight="1">
      <c r="L949" s="71"/>
    </row>
    <row r="950" ht="14.25" customHeight="1">
      <c r="L950" s="71"/>
    </row>
    <row r="951" ht="14.25" customHeight="1">
      <c r="L951" s="71"/>
    </row>
    <row r="952" ht="14.25" customHeight="1">
      <c r="L952" s="71"/>
    </row>
    <row r="953" ht="14.25" customHeight="1">
      <c r="L953" s="71"/>
    </row>
    <row r="954" ht="14.25" customHeight="1">
      <c r="L954" s="71"/>
    </row>
    <row r="955" ht="14.25" customHeight="1">
      <c r="L955" s="71"/>
    </row>
    <row r="956" ht="14.25" customHeight="1">
      <c r="L956" s="71"/>
    </row>
    <row r="957" ht="14.25" customHeight="1">
      <c r="L957" s="71"/>
    </row>
    <row r="958" ht="14.25" customHeight="1">
      <c r="L958" s="71"/>
    </row>
    <row r="959" ht="14.25" customHeight="1">
      <c r="L959" s="71"/>
    </row>
    <row r="960" ht="14.25" customHeight="1">
      <c r="L960" s="71"/>
    </row>
    <row r="961" ht="14.25" customHeight="1">
      <c r="L961" s="71"/>
    </row>
    <row r="962" ht="14.25" customHeight="1">
      <c r="L962" s="71"/>
    </row>
    <row r="963" ht="14.25" customHeight="1">
      <c r="L963" s="71"/>
    </row>
    <row r="964" ht="14.25" customHeight="1">
      <c r="L964" s="71"/>
    </row>
    <row r="965" ht="14.25" customHeight="1">
      <c r="L965" s="71"/>
    </row>
    <row r="966" ht="14.25" customHeight="1">
      <c r="L966" s="71"/>
    </row>
    <row r="967" ht="14.25" customHeight="1">
      <c r="L967" s="71"/>
    </row>
    <row r="968" ht="14.25" customHeight="1">
      <c r="L968" s="71"/>
    </row>
    <row r="969" ht="14.25" customHeight="1">
      <c r="L969" s="71"/>
    </row>
    <row r="970" ht="14.25" customHeight="1">
      <c r="L970" s="71"/>
    </row>
    <row r="971" ht="14.25" customHeight="1">
      <c r="L971" s="71"/>
    </row>
    <row r="972" ht="14.25" customHeight="1">
      <c r="L972" s="71"/>
    </row>
    <row r="973" ht="14.25" customHeight="1">
      <c r="L973" s="71"/>
    </row>
    <row r="974" ht="14.25" customHeight="1">
      <c r="L974" s="71"/>
    </row>
    <row r="975" ht="14.25" customHeight="1">
      <c r="L975" s="71"/>
    </row>
    <row r="976" ht="14.25" customHeight="1">
      <c r="L976" s="71"/>
    </row>
    <row r="977" ht="14.25" customHeight="1">
      <c r="L977" s="71"/>
    </row>
    <row r="978" ht="14.25" customHeight="1">
      <c r="L978" s="71"/>
    </row>
    <row r="979" ht="14.25" customHeight="1">
      <c r="L979" s="71"/>
    </row>
    <row r="980" ht="14.25" customHeight="1">
      <c r="L980" s="71"/>
    </row>
    <row r="981" ht="14.25" customHeight="1">
      <c r="L981" s="71"/>
    </row>
    <row r="982" ht="14.25" customHeight="1">
      <c r="L982" s="71"/>
    </row>
    <row r="983" ht="14.25" customHeight="1">
      <c r="L983" s="71"/>
    </row>
    <row r="984" ht="14.25" customHeight="1">
      <c r="L984" s="71"/>
    </row>
    <row r="985" ht="14.25" customHeight="1">
      <c r="L985" s="71"/>
    </row>
    <row r="986" ht="14.25" customHeight="1">
      <c r="L986" s="71"/>
    </row>
    <row r="987" ht="14.25" customHeight="1">
      <c r="L987" s="71"/>
    </row>
    <row r="988" ht="14.25" customHeight="1">
      <c r="L988" s="71"/>
    </row>
    <row r="989" ht="14.25" customHeight="1">
      <c r="L989" s="71"/>
    </row>
    <row r="990" ht="14.25" customHeight="1">
      <c r="L990" s="71"/>
    </row>
    <row r="991" ht="14.25" customHeight="1">
      <c r="L991" s="71"/>
    </row>
    <row r="992" ht="14.25" customHeight="1">
      <c r="L992" s="71"/>
    </row>
    <row r="993" ht="14.25" customHeight="1">
      <c r="L993" s="71"/>
    </row>
    <row r="994" ht="14.25" customHeight="1">
      <c r="L994" s="71"/>
    </row>
    <row r="995" ht="14.25" customHeight="1">
      <c r="L995" s="71"/>
    </row>
    <row r="996" ht="14.25" customHeight="1">
      <c r="L996" s="71"/>
    </row>
    <row r="997" ht="14.25" customHeight="1">
      <c r="L997" s="71"/>
    </row>
    <row r="998" ht="14.25" customHeight="1">
      <c r="L998" s="71"/>
    </row>
    <row r="999" ht="14.25" customHeight="1"/>
    <row r="1000" ht="14.25" customHeight="1"/>
  </sheetData>
  <conditionalFormatting sqref="J12">
    <cfRule type="cellIs" dxfId="0" priority="1" operator="notBetween">
      <formula>#REF!</formula>
      <formula>#REF!</formula>
    </cfRule>
  </conditionalFormatting>
  <conditionalFormatting sqref="J15">
    <cfRule type="cellIs" dxfId="0" priority="2" operator="notBetween">
      <formula>#REF!</formula>
      <formula>#REF!</formula>
    </cfRule>
  </conditionalFormatting>
  <conditionalFormatting sqref="J21:J25">
    <cfRule type="cellIs" dxfId="0" priority="3" operator="notBetween">
      <formula>#REF!</formula>
      <formula>#REF!</formula>
    </cfRule>
  </conditionalFormatting>
  <conditionalFormatting sqref="J25:J26">
    <cfRule type="cellIs" dxfId="0" priority="4" operator="notBetween">
      <formula>#REF!</formula>
      <formula>#REF!</formula>
    </cfRule>
  </conditionalFormatting>
  <conditionalFormatting sqref="J28">
    <cfRule type="cellIs" dxfId="0" priority="5" operator="notBetween">
      <formula>#REF!</formula>
      <formula>#REF!</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5.5"/>
    <col customWidth="1" min="3" max="4" width="10.63"/>
    <col customWidth="1" min="5" max="5" width="12.5"/>
    <col customWidth="1" min="6" max="6" width="61.5"/>
    <col customWidth="1" min="7" max="7" width="22.88"/>
    <col customWidth="1" min="8" max="8" width="13.0"/>
    <col customWidth="1" min="9" max="9" width="14.88"/>
    <col customWidth="1" min="10" max="10" width="14.5"/>
    <col customWidth="1" min="11" max="11" width="13.88"/>
    <col customWidth="1" min="12" max="12" width="14.88"/>
    <col customWidth="1" min="13" max="26" width="10.63"/>
  </cols>
  <sheetData>
    <row r="1" ht="14.25" customHeight="1">
      <c r="L1" s="71"/>
    </row>
    <row r="2" ht="14.25" customHeight="1">
      <c r="F2" s="72" t="s">
        <v>311</v>
      </c>
      <c r="L2" s="71"/>
    </row>
    <row r="3" ht="14.25" customHeight="1">
      <c r="L3" s="71"/>
    </row>
    <row r="4" ht="14.25" customHeight="1">
      <c r="G4" s="7" t="s">
        <v>312</v>
      </c>
      <c r="H4" s="73">
        <v>9500.0</v>
      </c>
      <c r="J4" s="166" t="s">
        <v>313</v>
      </c>
      <c r="K4" s="167"/>
      <c r="L4" s="71"/>
    </row>
    <row r="5" ht="14.25" customHeight="1">
      <c r="G5" s="7" t="s">
        <v>314</v>
      </c>
      <c r="H5" s="73">
        <v>1000.0</v>
      </c>
      <c r="J5" s="166" t="s">
        <v>315</v>
      </c>
      <c r="K5" s="167"/>
      <c r="L5" s="71"/>
    </row>
    <row r="6" ht="14.25" customHeight="1">
      <c r="B6" s="7" t="s">
        <v>316</v>
      </c>
      <c r="C6" s="76">
        <v>7.0</v>
      </c>
      <c r="G6" s="77" t="s">
        <v>317</v>
      </c>
      <c r="H6" s="78">
        <f>+H4+H5</f>
        <v>10500</v>
      </c>
      <c r="I6" s="28"/>
      <c r="J6" s="166" t="s">
        <v>318</v>
      </c>
      <c r="K6" s="167"/>
      <c r="L6" s="71"/>
    </row>
    <row r="7" ht="14.25" customHeight="1">
      <c r="B7" s="7"/>
      <c r="C7" s="7"/>
      <c r="G7" s="7"/>
      <c r="H7" s="7"/>
      <c r="L7" s="71"/>
    </row>
    <row r="8" ht="14.25" customHeight="1">
      <c r="L8" s="71"/>
    </row>
    <row r="9" ht="14.25" customHeight="1">
      <c r="B9" s="7" t="s">
        <v>319</v>
      </c>
      <c r="C9" s="7" t="s">
        <v>320</v>
      </c>
      <c r="G9" s="79" t="s">
        <v>85</v>
      </c>
      <c r="H9" s="80">
        <f>+I9*$H$6</f>
        <v>6825</v>
      </c>
      <c r="I9" s="81">
        <f>+C11</f>
        <v>0.65</v>
      </c>
      <c r="L9" s="71"/>
    </row>
    <row r="10" ht="14.25" customHeight="1">
      <c r="H10" s="82"/>
      <c r="L10" s="71"/>
    </row>
    <row r="11" ht="14.25" customHeight="1">
      <c r="B11" s="83" t="s">
        <v>85</v>
      </c>
      <c r="C11" s="84">
        <f>+LOOKUP($C$6,'Pesos Cartera K Sectorial'!C10:L10,'Pesos Cartera K Sectorial'!C24:L24)</f>
        <v>0.65</v>
      </c>
      <c r="F11" s="7"/>
      <c r="G11" s="24" t="s">
        <v>321</v>
      </c>
      <c r="H11" s="85" t="s">
        <v>322</v>
      </c>
      <c r="I11" s="24" t="s">
        <v>323</v>
      </c>
      <c r="J11" s="24" t="s">
        <v>324</v>
      </c>
      <c r="K11" s="24" t="s">
        <v>325</v>
      </c>
      <c r="L11" s="86" t="s">
        <v>326</v>
      </c>
    </row>
    <row r="12" ht="14.25" customHeight="1">
      <c r="B12" s="168" t="s">
        <v>346</v>
      </c>
      <c r="C12" s="169">
        <f>+LOOKUP($C$6,'Pesos Cartera K Sectorial'!$C$10:$L$10,'Pesos Cartera K Sectorial'!C40:L40)</f>
        <v>0.1625</v>
      </c>
      <c r="F12" s="53" t="s">
        <v>194</v>
      </c>
      <c r="G12" s="29" t="s">
        <v>346</v>
      </c>
      <c r="H12" s="170">
        <v>2500.0</v>
      </c>
      <c r="I12" s="171">
        <f t="shared" ref="I12:I16" si="1">+C12</f>
        <v>0.1625</v>
      </c>
      <c r="J12" s="171">
        <f t="shared" ref="J12:J16" si="2">+H12/$H$6</f>
        <v>0.2380952381</v>
      </c>
      <c r="K12" s="172">
        <f t="shared" ref="K12:K16" si="3">+I12*$H$6</f>
        <v>1706.25</v>
      </c>
      <c r="L12" s="172">
        <f t="shared" ref="L12:L16" si="4">+K12-H12</f>
        <v>-793.75</v>
      </c>
    </row>
    <row r="13" ht="14.25" customHeight="1">
      <c r="B13" s="173" t="s">
        <v>347</v>
      </c>
      <c r="C13" s="174">
        <f>+LOOKUP($C$6,'Pesos Cartera K Sectorial'!$C$10:$L$10,'Pesos Cartera K Sectorial'!C41:L41)</f>
        <v>0.1625</v>
      </c>
      <c r="F13" s="57" t="s">
        <v>199</v>
      </c>
      <c r="G13" s="93" t="s">
        <v>347</v>
      </c>
      <c r="H13" s="175">
        <v>2000.0</v>
      </c>
      <c r="I13" s="176">
        <f t="shared" si="1"/>
        <v>0.1625</v>
      </c>
      <c r="J13" s="176">
        <f t="shared" si="2"/>
        <v>0.1904761905</v>
      </c>
      <c r="K13" s="177">
        <f t="shared" si="3"/>
        <v>1706.25</v>
      </c>
      <c r="L13" s="177">
        <f t="shared" si="4"/>
        <v>-293.75</v>
      </c>
    </row>
    <row r="14" ht="14.25" customHeight="1">
      <c r="B14" s="168" t="s">
        <v>348</v>
      </c>
      <c r="C14" s="169">
        <f>+LOOKUP($C$6,'Pesos Cartera K Sectorial'!$C$10:$L$10,'Pesos Cartera K Sectorial'!C42:L42)</f>
        <v>0.1625</v>
      </c>
      <c r="F14" s="53" t="s">
        <v>207</v>
      </c>
      <c r="G14" s="29" t="s">
        <v>348</v>
      </c>
      <c r="H14" s="175">
        <v>1000.0</v>
      </c>
      <c r="I14" s="171">
        <f t="shared" si="1"/>
        <v>0.1625</v>
      </c>
      <c r="J14" s="171">
        <f t="shared" si="2"/>
        <v>0.09523809524</v>
      </c>
      <c r="K14" s="172">
        <f t="shared" si="3"/>
        <v>1706.25</v>
      </c>
      <c r="L14" s="172">
        <f t="shared" si="4"/>
        <v>706.25</v>
      </c>
    </row>
    <row r="15" ht="14.25" customHeight="1">
      <c r="B15" s="173" t="s">
        <v>349</v>
      </c>
      <c r="C15" s="174">
        <f>+LOOKUP($C$6,'Pesos Cartera K Sectorial'!$C$10:$L$10,'Pesos Cartera K Sectorial'!C43:L43)</f>
        <v>0.08125</v>
      </c>
      <c r="F15" s="57" t="s">
        <v>211</v>
      </c>
      <c r="G15" s="93" t="s">
        <v>349</v>
      </c>
      <c r="H15" s="170">
        <v>1000.0</v>
      </c>
      <c r="I15" s="178">
        <f t="shared" si="1"/>
        <v>0.08125</v>
      </c>
      <c r="J15" s="178">
        <f t="shared" si="2"/>
        <v>0.09523809524</v>
      </c>
      <c r="K15" s="177">
        <f t="shared" si="3"/>
        <v>853.125</v>
      </c>
      <c r="L15" s="177">
        <f t="shared" si="4"/>
        <v>-146.875</v>
      </c>
    </row>
    <row r="16" ht="14.25" customHeight="1">
      <c r="B16" s="96" t="s">
        <v>350</v>
      </c>
      <c r="C16" s="179">
        <f>+LOOKUP($C$6,'Pesos Cartera K Sectorial'!$C$10:$L$10,'Pesos Cartera K Sectorial'!C44:L44)</f>
        <v>0.08125</v>
      </c>
      <c r="F16" s="53" t="s">
        <v>215</v>
      </c>
      <c r="G16" s="29" t="s">
        <v>350</v>
      </c>
      <c r="H16" s="94">
        <v>1000.0</v>
      </c>
      <c r="I16" s="180">
        <f t="shared" si="1"/>
        <v>0.08125</v>
      </c>
      <c r="J16" s="180">
        <f t="shared" si="2"/>
        <v>0.09523809524</v>
      </c>
      <c r="K16" s="172">
        <f t="shared" si="3"/>
        <v>853.125</v>
      </c>
      <c r="L16" s="172">
        <f t="shared" si="4"/>
        <v>-146.875</v>
      </c>
    </row>
    <row r="17" ht="14.25" customHeight="1">
      <c r="F17" s="96" t="s">
        <v>329</v>
      </c>
      <c r="G17" s="97"/>
      <c r="H17" s="181">
        <f t="shared" ref="H17:L17" si="5">SUM(H12:H16)</f>
        <v>7500</v>
      </c>
      <c r="I17" s="99">
        <f t="shared" si="5"/>
        <v>0.65</v>
      </c>
      <c r="J17" s="99">
        <f t="shared" si="5"/>
        <v>0.7142857143</v>
      </c>
      <c r="K17" s="182">
        <f t="shared" si="5"/>
        <v>6825</v>
      </c>
      <c r="L17" s="183">
        <f t="shared" si="5"/>
        <v>-675</v>
      </c>
    </row>
    <row r="18" ht="14.25" customHeight="1">
      <c r="H18" s="82"/>
      <c r="K18" s="12" t="s">
        <v>330</v>
      </c>
      <c r="L18" s="71"/>
    </row>
    <row r="19" ht="14.25" customHeight="1">
      <c r="B19" s="101" t="s">
        <v>331</v>
      </c>
      <c r="C19" s="102">
        <f>+LOOKUP($C$6,'Pesos Cartera K Sectorial'!$C$10:$L$10,'Pesos Cartera K Sectorial'!C25:L25)</f>
        <v>0.15</v>
      </c>
      <c r="F19" s="184"/>
      <c r="G19" s="40" t="s">
        <v>331</v>
      </c>
      <c r="H19" s="103">
        <f>+I19*$H$6</f>
        <v>1575</v>
      </c>
      <c r="I19" s="104">
        <f>+C19</f>
        <v>0.15</v>
      </c>
    </row>
    <row r="20" ht="14.25" customHeight="1">
      <c r="L20" s="71"/>
    </row>
    <row r="21" ht="14.25" customHeight="1">
      <c r="F21" s="7"/>
      <c r="G21" s="24" t="s">
        <v>332</v>
      </c>
      <c r="H21" s="105" t="s">
        <v>322</v>
      </c>
      <c r="I21" s="24" t="s">
        <v>323</v>
      </c>
      <c r="J21" s="24" t="s">
        <v>324</v>
      </c>
      <c r="K21" s="24" t="s">
        <v>325</v>
      </c>
      <c r="L21" s="86" t="s">
        <v>326</v>
      </c>
    </row>
    <row r="22" ht="14.25" customHeight="1">
      <c r="B22" s="106" t="s">
        <v>333</v>
      </c>
      <c r="C22" s="107">
        <f>+LOOKUP($C$6,'Pesos Cartera K Sectorial'!$C$10:$L$10,'Pesos Cartera K Sectorial'!C53:L53)</f>
        <v>0.15</v>
      </c>
      <c r="E22" s="106" t="s">
        <v>334</v>
      </c>
      <c r="F22" s="106"/>
      <c r="G22" s="106" t="s">
        <v>333</v>
      </c>
      <c r="H22" s="108">
        <f t="shared" ref="H22:J22" si="6">SUM(H23:H25)</f>
        <v>0</v>
      </c>
      <c r="I22" s="109">
        <f t="shared" si="6"/>
        <v>0.15</v>
      </c>
      <c r="J22" s="109">
        <f t="shared" si="6"/>
        <v>0</v>
      </c>
      <c r="K22" s="106">
        <f t="shared" ref="K22:K25" si="7">+I22*$H$6</f>
        <v>1575</v>
      </c>
      <c r="L22" s="108">
        <f t="shared" ref="L22:L25" si="8">+K22-H22</f>
        <v>1575</v>
      </c>
    </row>
    <row r="23" ht="14.25" customHeight="1">
      <c r="B23" s="110" t="s">
        <v>130</v>
      </c>
      <c r="C23" s="111">
        <v>0.15</v>
      </c>
      <c r="E23" s="112">
        <v>10.25</v>
      </c>
      <c r="F23" s="113" t="s">
        <v>237</v>
      </c>
      <c r="G23" s="113" t="s">
        <v>130</v>
      </c>
      <c r="H23" s="114"/>
      <c r="I23" s="115">
        <f t="shared" ref="I23:I25" si="9">+C23</f>
        <v>0.15</v>
      </c>
      <c r="J23" s="115">
        <f t="shared" ref="J23:J25" si="10">+H23/$H$6</f>
        <v>0</v>
      </c>
      <c r="K23" s="116">
        <f t="shared" si="7"/>
        <v>1575</v>
      </c>
      <c r="L23" s="116">
        <f t="shared" si="8"/>
        <v>1575</v>
      </c>
    </row>
    <row r="24" ht="14.25" customHeight="1">
      <c r="B24" s="117" t="s">
        <v>134</v>
      </c>
      <c r="C24" s="118">
        <v>0.0</v>
      </c>
      <c r="E24" s="119">
        <v>6.84</v>
      </c>
      <c r="F24" s="120" t="s">
        <v>229</v>
      </c>
      <c r="G24" s="120" t="s">
        <v>134</v>
      </c>
      <c r="H24" s="185">
        <v>0.0</v>
      </c>
      <c r="I24" s="121">
        <f t="shared" si="9"/>
        <v>0</v>
      </c>
      <c r="J24" s="121">
        <f t="shared" si="10"/>
        <v>0</v>
      </c>
      <c r="K24" s="122">
        <f t="shared" si="7"/>
        <v>0</v>
      </c>
      <c r="L24" s="122">
        <f t="shared" si="8"/>
        <v>0</v>
      </c>
    </row>
    <row r="25" ht="14.25" customHeight="1">
      <c r="B25" s="123" t="s">
        <v>138</v>
      </c>
      <c r="C25" s="164">
        <v>0.0</v>
      </c>
      <c r="E25" s="124">
        <v>1.88</v>
      </c>
      <c r="F25" s="125" t="s">
        <v>258</v>
      </c>
      <c r="G25" s="125" t="s">
        <v>138</v>
      </c>
      <c r="H25" s="186"/>
      <c r="I25" s="127">
        <f t="shared" si="9"/>
        <v>0</v>
      </c>
      <c r="J25" s="127">
        <f t="shared" si="10"/>
        <v>0</v>
      </c>
      <c r="K25" s="128">
        <f t="shared" si="7"/>
        <v>0</v>
      </c>
      <c r="L25" s="128">
        <f t="shared" si="8"/>
        <v>0</v>
      </c>
    </row>
    <row r="26" ht="14.25" customHeight="1">
      <c r="B26" s="129"/>
      <c r="C26" s="129"/>
      <c r="H26" s="130"/>
      <c r="K26" s="131"/>
      <c r="L26" s="71"/>
    </row>
    <row r="27" ht="14.25" customHeight="1">
      <c r="B27" s="106" t="s">
        <v>149</v>
      </c>
      <c r="C27" s="107">
        <f>+LOOKUP($C$6,'Pesos Cartera K Sectorial'!$C$10:$L$10,'Pesos Cartera K Sectorial'!C54:L54)</f>
        <v>0</v>
      </c>
      <c r="E27" s="132">
        <v>4.44</v>
      </c>
      <c r="F27" s="133" t="s">
        <v>265</v>
      </c>
      <c r="G27" s="133" t="s">
        <v>149</v>
      </c>
      <c r="H27" s="187"/>
      <c r="I27" s="135">
        <f t="shared" ref="I27:I28" si="11">+C27</f>
        <v>0</v>
      </c>
      <c r="J27" s="115">
        <f t="shared" ref="J27:J29" si="12">+H27/$H$6</f>
        <v>0</v>
      </c>
      <c r="K27" s="136">
        <f t="shared" ref="K27:K29" si="13">+I27*$H$6</f>
        <v>0</v>
      </c>
      <c r="L27" s="136">
        <f t="shared" ref="L27:L29" si="14">+K27-H27</f>
        <v>0</v>
      </c>
    </row>
    <row r="28" ht="14.25" customHeight="1">
      <c r="B28" s="106" t="s">
        <v>335</v>
      </c>
      <c r="C28" s="107">
        <f>+LOOKUP($C$6,'Pesos Cartera K Sectorial'!$C$10:$L$10,'Pesos Cartera K Sectorial'!C55:L55)</f>
        <v>0</v>
      </c>
      <c r="E28" s="132">
        <v>3.38</v>
      </c>
      <c r="F28" s="133" t="s">
        <v>287</v>
      </c>
      <c r="G28" s="133" t="s">
        <v>335</v>
      </c>
      <c r="H28" s="186">
        <v>0.0</v>
      </c>
      <c r="I28" s="135">
        <f t="shared" si="11"/>
        <v>0</v>
      </c>
      <c r="J28" s="138">
        <f t="shared" si="12"/>
        <v>0</v>
      </c>
      <c r="K28" s="136">
        <f t="shared" si="13"/>
        <v>0</v>
      </c>
      <c r="L28" s="136">
        <f t="shared" si="14"/>
        <v>0</v>
      </c>
    </row>
    <row r="29" ht="14.25" customHeight="1">
      <c r="E29" s="139">
        <f>+(E23*C23+E24*C24+E25*C25+E27*C27+E28*C28)/C19</f>
        <v>10.25</v>
      </c>
      <c r="F29" s="140" t="s">
        <v>336</v>
      </c>
      <c r="G29" s="141"/>
      <c r="H29" s="142">
        <f>+H22+H27+H28</f>
        <v>0</v>
      </c>
      <c r="I29" s="143">
        <f>+I19</f>
        <v>0.15</v>
      </c>
      <c r="J29" s="144">
        <f t="shared" si="12"/>
        <v>0</v>
      </c>
      <c r="K29" s="145">
        <f t="shared" si="13"/>
        <v>1575</v>
      </c>
      <c r="L29" s="146">
        <f t="shared" si="14"/>
        <v>1575</v>
      </c>
    </row>
    <row r="30" ht="14.25" customHeight="1">
      <c r="K30" s="131"/>
      <c r="L30" s="71"/>
    </row>
    <row r="31" ht="14.25" customHeight="1">
      <c r="B31" s="147" t="s">
        <v>337</v>
      </c>
      <c r="C31" s="148">
        <f>+LOOKUP($C$6,'Pesos Cartera K Sectorial'!$C$10:$L$10,'Pesos Cartera K Sectorial'!C26:L26)</f>
        <v>0.2</v>
      </c>
      <c r="G31" s="149" t="s">
        <v>337</v>
      </c>
      <c r="H31" s="150">
        <f>+I31*$H$6</f>
        <v>2100</v>
      </c>
      <c r="I31" s="151">
        <f>+C31</f>
        <v>0.2</v>
      </c>
      <c r="K31" s="131"/>
      <c r="L31" s="71"/>
    </row>
    <row r="32" ht="14.25" customHeight="1">
      <c r="K32" s="131"/>
      <c r="L32" s="71"/>
    </row>
    <row r="33" ht="14.25" customHeight="1">
      <c r="F33" s="7"/>
      <c r="G33" s="24" t="s">
        <v>338</v>
      </c>
      <c r="H33" s="85" t="s">
        <v>322</v>
      </c>
      <c r="I33" s="24" t="s">
        <v>323</v>
      </c>
      <c r="J33" s="24" t="s">
        <v>324</v>
      </c>
      <c r="K33" s="24" t="s">
        <v>325</v>
      </c>
      <c r="L33" s="86" t="s">
        <v>326</v>
      </c>
    </row>
    <row r="34" ht="14.25" customHeight="1">
      <c r="F34" s="149" t="s">
        <v>305</v>
      </c>
      <c r="G34" s="149" t="s">
        <v>337</v>
      </c>
      <c r="H34" s="152">
        <v>2000.0</v>
      </c>
      <c r="I34" s="151">
        <f>+I31</f>
        <v>0.2</v>
      </c>
      <c r="J34" s="151">
        <f>+H34/$H$6</f>
        <v>0.1904761905</v>
      </c>
      <c r="K34" s="90">
        <f>+I34*$H$6</f>
        <v>2100</v>
      </c>
      <c r="L34" s="71">
        <f>+K34-H34</f>
        <v>100</v>
      </c>
    </row>
    <row r="35" ht="14.25" customHeight="1">
      <c r="H35" s="153"/>
      <c r="L35" s="71"/>
    </row>
    <row r="36" ht="14.25" customHeight="1">
      <c r="G36" s="154" t="s">
        <v>340</v>
      </c>
      <c r="H36" s="155">
        <f>+H34+H29+H17</f>
        <v>9500</v>
      </c>
      <c r="I36" s="154"/>
      <c r="J36" s="154"/>
      <c r="K36" s="155">
        <f>+K34+K29+K17</f>
        <v>10500</v>
      </c>
      <c r="L36" s="156">
        <f>+K36-H36</f>
        <v>1000</v>
      </c>
    </row>
    <row r="37" ht="14.25" customHeight="1">
      <c r="L37" s="71"/>
    </row>
    <row r="38" ht="14.25" customHeight="1">
      <c r="L38" s="71"/>
    </row>
    <row r="39" ht="14.25" customHeight="1">
      <c r="L39" s="71"/>
    </row>
    <row r="40" ht="14.25" customHeight="1">
      <c r="L40" s="71"/>
    </row>
    <row r="41" ht="14.25" customHeight="1">
      <c r="L41" s="71"/>
    </row>
    <row r="42" ht="14.25" customHeight="1">
      <c r="F42" s="7" t="s">
        <v>341</v>
      </c>
      <c r="G42" s="7"/>
      <c r="L42" s="71"/>
    </row>
    <row r="43" ht="14.25" customHeight="1">
      <c r="F43" s="24" t="s">
        <v>76</v>
      </c>
      <c r="G43" s="24" t="s">
        <v>342</v>
      </c>
      <c r="H43" s="24" t="s">
        <v>338</v>
      </c>
      <c r="I43" s="24" t="s">
        <v>322</v>
      </c>
      <c r="J43" s="24" t="s">
        <v>77</v>
      </c>
      <c r="L43" s="71"/>
    </row>
    <row r="44" ht="14.25" customHeight="1">
      <c r="F44" s="157" t="s">
        <v>343</v>
      </c>
      <c r="G44" s="157" t="s">
        <v>344</v>
      </c>
      <c r="H44" s="12" t="s">
        <v>345</v>
      </c>
      <c r="I44" s="82">
        <v>0.0</v>
      </c>
      <c r="J44" s="33">
        <v>6.0E-4</v>
      </c>
      <c r="L44" s="71"/>
    </row>
    <row r="45" ht="14.25" customHeight="1">
      <c r="L45" s="71"/>
    </row>
    <row r="46" ht="14.25" customHeight="1">
      <c r="L46" s="71"/>
    </row>
    <row r="47" ht="14.25" customHeight="1">
      <c r="L47" s="71"/>
    </row>
    <row r="48" ht="14.25" customHeight="1">
      <c r="L48" s="71"/>
    </row>
    <row r="49" ht="14.25" customHeight="1">
      <c r="L49" s="71"/>
    </row>
    <row r="50" ht="14.25" customHeight="1">
      <c r="L50" s="71"/>
    </row>
    <row r="51" ht="14.25" customHeight="1">
      <c r="L51" s="158"/>
    </row>
    <row r="52" ht="14.25" customHeight="1">
      <c r="L52" s="71"/>
    </row>
    <row r="53" ht="14.25" customHeight="1">
      <c r="L53" s="71"/>
    </row>
    <row r="54" ht="14.25" customHeight="1">
      <c r="L54" s="71"/>
    </row>
    <row r="55" ht="14.25" customHeight="1">
      <c r="L55" s="71"/>
    </row>
    <row r="56" ht="14.25" customHeight="1">
      <c r="L56" s="71"/>
    </row>
    <row r="57" ht="14.25" customHeight="1">
      <c r="L57" s="71"/>
    </row>
    <row r="58" ht="14.25" customHeight="1">
      <c r="L58" s="71"/>
    </row>
    <row r="59" ht="14.25" customHeight="1">
      <c r="L59" s="71"/>
    </row>
    <row r="60" ht="14.25" customHeight="1">
      <c r="L60" s="71"/>
    </row>
    <row r="61" ht="14.25" customHeight="1">
      <c r="L61" s="71"/>
    </row>
    <row r="62" ht="14.25" customHeight="1">
      <c r="L62" s="71"/>
    </row>
    <row r="63" ht="14.25" customHeight="1">
      <c r="L63" s="71"/>
    </row>
    <row r="64" ht="14.25" customHeight="1">
      <c r="L64" s="71"/>
    </row>
    <row r="65" ht="14.25" customHeight="1">
      <c r="L65" s="71"/>
    </row>
    <row r="66" ht="14.25" customHeight="1">
      <c r="L66" s="71"/>
    </row>
    <row r="67" ht="14.25" customHeight="1">
      <c r="L67" s="71"/>
    </row>
    <row r="68" ht="14.25" customHeight="1">
      <c r="L68" s="71"/>
    </row>
    <row r="69" ht="14.25" customHeight="1">
      <c r="L69" s="71"/>
    </row>
    <row r="70" ht="14.25" customHeight="1">
      <c r="L70" s="71"/>
    </row>
    <row r="71" ht="14.25" customHeight="1">
      <c r="L71" s="71"/>
    </row>
    <row r="72" ht="14.25" customHeight="1">
      <c r="L72" s="71"/>
    </row>
    <row r="73" ht="14.25" customHeight="1">
      <c r="L73" s="71"/>
    </row>
    <row r="74" ht="14.25" customHeight="1">
      <c r="L74" s="71"/>
    </row>
    <row r="75" ht="14.25" customHeight="1">
      <c r="L75" s="71"/>
    </row>
    <row r="76" ht="14.25" customHeight="1">
      <c r="L76" s="71"/>
    </row>
    <row r="77" ht="14.25" customHeight="1">
      <c r="L77" s="71"/>
    </row>
    <row r="78" ht="14.25" customHeight="1">
      <c r="L78" s="71"/>
    </row>
    <row r="79" ht="14.25" customHeight="1">
      <c r="L79" s="71"/>
    </row>
    <row r="80" ht="14.25" customHeight="1">
      <c r="L80" s="71"/>
    </row>
    <row r="81" ht="14.25" customHeight="1">
      <c r="L81" s="71"/>
    </row>
    <row r="82" ht="14.25" customHeight="1">
      <c r="L82" s="71"/>
    </row>
    <row r="83" ht="14.25" customHeight="1">
      <c r="L83" s="71"/>
    </row>
    <row r="84" ht="14.25" customHeight="1">
      <c r="L84" s="71"/>
    </row>
    <row r="85" ht="14.25" customHeight="1">
      <c r="L85" s="71"/>
    </row>
    <row r="86" ht="14.25" customHeight="1">
      <c r="L86" s="71"/>
    </row>
    <row r="87" ht="14.25" customHeight="1">
      <c r="L87" s="71"/>
    </row>
    <row r="88" ht="14.25" customHeight="1">
      <c r="L88" s="71"/>
    </row>
    <row r="89" ht="14.25" customHeight="1">
      <c r="L89" s="71"/>
    </row>
    <row r="90" ht="14.25" customHeight="1">
      <c r="L90" s="71"/>
    </row>
    <row r="91" ht="14.25" customHeight="1">
      <c r="L91" s="71"/>
    </row>
    <row r="92" ht="14.25" customHeight="1">
      <c r="L92" s="71"/>
    </row>
    <row r="93" ht="14.25" customHeight="1">
      <c r="L93" s="71"/>
    </row>
    <row r="94" ht="14.25" customHeight="1">
      <c r="L94" s="71"/>
    </row>
    <row r="95" ht="14.25" customHeight="1">
      <c r="L95" s="71"/>
    </row>
    <row r="96" ht="14.25" customHeight="1">
      <c r="L96" s="71"/>
    </row>
    <row r="97" ht="14.25" customHeight="1">
      <c r="L97" s="71"/>
    </row>
    <row r="98" ht="14.25" customHeight="1">
      <c r="L98" s="71"/>
    </row>
    <row r="99" ht="14.25" customHeight="1">
      <c r="L99" s="71"/>
    </row>
    <row r="100" ht="14.25" customHeight="1">
      <c r="L100" s="71"/>
    </row>
    <row r="101" ht="14.25" customHeight="1">
      <c r="L101" s="71"/>
    </row>
    <row r="102" ht="14.25" customHeight="1">
      <c r="L102" s="71"/>
    </row>
    <row r="103" ht="14.25" customHeight="1">
      <c r="L103" s="71"/>
    </row>
    <row r="104" ht="14.25" customHeight="1">
      <c r="L104" s="71"/>
    </row>
    <row r="105" ht="14.25" customHeight="1">
      <c r="L105" s="71"/>
    </row>
    <row r="106" ht="14.25" customHeight="1">
      <c r="L106" s="71"/>
    </row>
    <row r="107" ht="14.25" customHeight="1">
      <c r="L107" s="71"/>
    </row>
    <row r="108" ht="14.25" customHeight="1">
      <c r="L108" s="71"/>
    </row>
    <row r="109" ht="14.25" customHeight="1">
      <c r="L109" s="71"/>
    </row>
    <row r="110" ht="14.25" customHeight="1">
      <c r="L110" s="71"/>
    </row>
    <row r="111" ht="14.25" customHeight="1">
      <c r="L111" s="71"/>
    </row>
    <row r="112" ht="14.25" customHeight="1">
      <c r="L112" s="71"/>
    </row>
    <row r="113" ht="14.25" customHeight="1">
      <c r="L113" s="71"/>
    </row>
    <row r="114" ht="14.25" customHeight="1">
      <c r="L114" s="71"/>
    </row>
    <row r="115" ht="14.25" customHeight="1">
      <c r="L115" s="71"/>
    </row>
    <row r="116" ht="14.25" customHeight="1">
      <c r="L116" s="71"/>
    </row>
    <row r="117" ht="14.25" customHeight="1">
      <c r="L117" s="71"/>
    </row>
    <row r="118" ht="14.25" customHeight="1">
      <c r="L118" s="71"/>
    </row>
    <row r="119" ht="14.25" customHeight="1">
      <c r="L119" s="71"/>
    </row>
    <row r="120" ht="14.25" customHeight="1">
      <c r="L120" s="71"/>
    </row>
    <row r="121" ht="14.25" customHeight="1">
      <c r="L121" s="71"/>
    </row>
    <row r="122" ht="14.25" customHeight="1">
      <c r="L122" s="71"/>
    </row>
    <row r="123" ht="14.25" customHeight="1">
      <c r="L123" s="71"/>
    </row>
    <row r="124" ht="14.25" customHeight="1">
      <c r="L124" s="71"/>
    </row>
    <row r="125" ht="14.25" customHeight="1">
      <c r="L125" s="71"/>
    </row>
    <row r="126" ht="14.25" customHeight="1">
      <c r="L126" s="71"/>
    </row>
    <row r="127" ht="14.25" customHeight="1">
      <c r="L127" s="71"/>
    </row>
    <row r="128" ht="14.25" customHeight="1">
      <c r="L128" s="71"/>
    </row>
    <row r="129" ht="14.25" customHeight="1">
      <c r="L129" s="71"/>
    </row>
    <row r="130" ht="14.25" customHeight="1">
      <c r="L130" s="71"/>
    </row>
    <row r="131" ht="14.25" customHeight="1">
      <c r="L131" s="71"/>
    </row>
    <row r="132" ht="14.25" customHeight="1">
      <c r="L132" s="71"/>
    </row>
    <row r="133" ht="14.25" customHeight="1">
      <c r="L133" s="71"/>
    </row>
    <row r="134" ht="14.25" customHeight="1">
      <c r="L134" s="71"/>
    </row>
    <row r="135" ht="14.25" customHeight="1">
      <c r="L135" s="71"/>
    </row>
    <row r="136" ht="14.25" customHeight="1">
      <c r="L136" s="71"/>
    </row>
    <row r="137" ht="14.25" customHeight="1">
      <c r="L137" s="71"/>
    </row>
    <row r="138" ht="14.25" customHeight="1">
      <c r="L138" s="71"/>
    </row>
    <row r="139" ht="14.25" customHeight="1">
      <c r="L139" s="71"/>
    </row>
    <row r="140" ht="14.25" customHeight="1">
      <c r="L140" s="71"/>
    </row>
    <row r="141" ht="14.25" customHeight="1">
      <c r="L141" s="71"/>
    </row>
    <row r="142" ht="14.25" customHeight="1">
      <c r="L142" s="71"/>
    </row>
    <row r="143" ht="14.25" customHeight="1">
      <c r="L143" s="71"/>
    </row>
    <row r="144" ht="14.25" customHeight="1">
      <c r="L144" s="71"/>
    </row>
    <row r="145" ht="14.25" customHeight="1">
      <c r="L145" s="71"/>
    </row>
    <row r="146" ht="14.25" customHeight="1">
      <c r="L146" s="71"/>
    </row>
    <row r="147" ht="14.25" customHeight="1">
      <c r="L147" s="71"/>
    </row>
    <row r="148" ht="14.25" customHeight="1">
      <c r="L148" s="71"/>
    </row>
    <row r="149" ht="14.25" customHeight="1">
      <c r="L149" s="71"/>
    </row>
    <row r="150" ht="14.25" customHeight="1">
      <c r="L150" s="71"/>
    </row>
    <row r="151" ht="14.25" customHeight="1">
      <c r="L151" s="71"/>
    </row>
    <row r="152" ht="14.25" customHeight="1">
      <c r="L152" s="71"/>
    </row>
    <row r="153" ht="14.25" customHeight="1">
      <c r="L153" s="71"/>
    </row>
    <row r="154" ht="14.25" customHeight="1">
      <c r="L154" s="71"/>
    </row>
    <row r="155" ht="14.25" customHeight="1">
      <c r="L155" s="71"/>
    </row>
    <row r="156" ht="14.25" customHeight="1">
      <c r="L156" s="71"/>
    </row>
    <row r="157" ht="14.25" customHeight="1">
      <c r="L157" s="71"/>
    </row>
    <row r="158" ht="14.25" customHeight="1">
      <c r="L158" s="71"/>
    </row>
    <row r="159" ht="14.25" customHeight="1">
      <c r="L159" s="71"/>
    </row>
    <row r="160" ht="14.25" customHeight="1">
      <c r="L160" s="71"/>
    </row>
    <row r="161" ht="14.25" customHeight="1">
      <c r="L161" s="71"/>
    </row>
    <row r="162" ht="14.25" customHeight="1">
      <c r="L162" s="71"/>
    </row>
    <row r="163" ht="14.25" customHeight="1">
      <c r="L163" s="71"/>
    </row>
    <row r="164" ht="14.25" customHeight="1">
      <c r="L164" s="71"/>
    </row>
    <row r="165" ht="14.25" customHeight="1">
      <c r="L165" s="71"/>
    </row>
    <row r="166" ht="14.25" customHeight="1">
      <c r="L166" s="71"/>
    </row>
    <row r="167" ht="14.25" customHeight="1">
      <c r="L167" s="71"/>
    </row>
    <row r="168" ht="14.25" customHeight="1">
      <c r="L168" s="71"/>
    </row>
    <row r="169" ht="14.25" customHeight="1">
      <c r="L169" s="71"/>
    </row>
    <row r="170" ht="14.25" customHeight="1">
      <c r="L170" s="71"/>
    </row>
    <row r="171" ht="14.25" customHeight="1">
      <c r="L171" s="71"/>
    </row>
    <row r="172" ht="14.25" customHeight="1">
      <c r="L172" s="71"/>
    </row>
    <row r="173" ht="14.25" customHeight="1">
      <c r="L173" s="71"/>
    </row>
    <row r="174" ht="14.25" customHeight="1">
      <c r="L174" s="71"/>
    </row>
    <row r="175" ht="14.25" customHeight="1">
      <c r="L175" s="71"/>
    </row>
    <row r="176" ht="14.25" customHeight="1">
      <c r="L176" s="71"/>
    </row>
    <row r="177" ht="14.25" customHeight="1">
      <c r="L177" s="71"/>
    </row>
    <row r="178" ht="14.25" customHeight="1">
      <c r="L178" s="71"/>
    </row>
    <row r="179" ht="14.25" customHeight="1">
      <c r="L179" s="71"/>
    </row>
    <row r="180" ht="14.25" customHeight="1">
      <c r="L180" s="71"/>
    </row>
    <row r="181" ht="14.25" customHeight="1">
      <c r="L181" s="71"/>
    </row>
    <row r="182" ht="14.25" customHeight="1">
      <c r="L182" s="71"/>
    </row>
    <row r="183" ht="14.25" customHeight="1">
      <c r="L183" s="71"/>
    </row>
    <row r="184" ht="14.25" customHeight="1">
      <c r="L184" s="71"/>
    </row>
    <row r="185" ht="14.25" customHeight="1">
      <c r="L185" s="71"/>
    </row>
    <row r="186" ht="14.25" customHeight="1">
      <c r="L186" s="71"/>
    </row>
    <row r="187" ht="14.25" customHeight="1">
      <c r="L187" s="71"/>
    </row>
    <row r="188" ht="14.25" customHeight="1">
      <c r="L188" s="71"/>
    </row>
    <row r="189" ht="14.25" customHeight="1">
      <c r="L189" s="71"/>
    </row>
    <row r="190" ht="14.25" customHeight="1">
      <c r="L190" s="71"/>
    </row>
    <row r="191" ht="14.25" customHeight="1">
      <c r="L191" s="71"/>
    </row>
    <row r="192" ht="14.25" customHeight="1">
      <c r="L192" s="71"/>
    </row>
    <row r="193" ht="14.25" customHeight="1">
      <c r="L193" s="71"/>
    </row>
    <row r="194" ht="14.25" customHeight="1">
      <c r="L194" s="71"/>
    </row>
    <row r="195" ht="14.25" customHeight="1">
      <c r="L195" s="71"/>
    </row>
    <row r="196" ht="14.25" customHeight="1">
      <c r="L196" s="71"/>
    </row>
    <row r="197" ht="14.25" customHeight="1">
      <c r="L197" s="71"/>
    </row>
    <row r="198" ht="14.25" customHeight="1">
      <c r="L198" s="71"/>
    </row>
    <row r="199" ht="14.25" customHeight="1">
      <c r="L199" s="71"/>
    </row>
    <row r="200" ht="14.25" customHeight="1">
      <c r="L200" s="71"/>
    </row>
    <row r="201" ht="14.25" customHeight="1">
      <c r="L201" s="71"/>
    </row>
    <row r="202" ht="14.25" customHeight="1">
      <c r="L202" s="71"/>
    </row>
    <row r="203" ht="14.25" customHeight="1">
      <c r="L203" s="71"/>
    </row>
    <row r="204" ht="14.25" customHeight="1">
      <c r="L204" s="71"/>
    </row>
    <row r="205" ht="14.25" customHeight="1">
      <c r="L205" s="71"/>
    </row>
    <row r="206" ht="14.25" customHeight="1">
      <c r="L206" s="71"/>
    </row>
    <row r="207" ht="14.25" customHeight="1">
      <c r="L207" s="71"/>
    </row>
    <row r="208" ht="14.25" customHeight="1">
      <c r="L208" s="71"/>
    </row>
    <row r="209" ht="14.25" customHeight="1">
      <c r="L209" s="71"/>
    </row>
    <row r="210" ht="14.25" customHeight="1">
      <c r="L210" s="71"/>
    </row>
    <row r="211" ht="14.25" customHeight="1">
      <c r="L211" s="71"/>
    </row>
    <row r="212" ht="14.25" customHeight="1">
      <c r="L212" s="71"/>
    </row>
    <row r="213" ht="14.25" customHeight="1">
      <c r="L213" s="71"/>
    </row>
    <row r="214" ht="14.25" customHeight="1">
      <c r="L214" s="71"/>
    </row>
    <row r="215" ht="14.25" customHeight="1">
      <c r="L215" s="71"/>
    </row>
    <row r="216" ht="14.25" customHeight="1">
      <c r="L216" s="71"/>
    </row>
    <row r="217" ht="14.25" customHeight="1">
      <c r="L217" s="71"/>
    </row>
    <row r="218" ht="14.25" customHeight="1">
      <c r="L218" s="71"/>
    </row>
    <row r="219" ht="14.25" customHeight="1">
      <c r="L219" s="71"/>
    </row>
    <row r="220" ht="14.25" customHeight="1">
      <c r="L220" s="71"/>
    </row>
    <row r="221" ht="14.25" customHeight="1">
      <c r="L221" s="71"/>
    </row>
    <row r="222" ht="14.25" customHeight="1">
      <c r="L222" s="71"/>
    </row>
    <row r="223" ht="14.25" customHeight="1">
      <c r="L223" s="71"/>
    </row>
    <row r="224" ht="14.25" customHeight="1">
      <c r="L224" s="71"/>
    </row>
    <row r="225" ht="14.25" customHeight="1">
      <c r="L225" s="71"/>
    </row>
    <row r="226" ht="14.25" customHeight="1">
      <c r="L226" s="71"/>
    </row>
    <row r="227" ht="14.25" customHeight="1">
      <c r="L227" s="71"/>
    </row>
    <row r="228" ht="14.25" customHeight="1">
      <c r="L228" s="71"/>
    </row>
    <row r="229" ht="14.25" customHeight="1">
      <c r="L229" s="71"/>
    </row>
    <row r="230" ht="14.25" customHeight="1">
      <c r="L230" s="71"/>
    </row>
    <row r="231" ht="14.25" customHeight="1">
      <c r="L231" s="71"/>
    </row>
    <row r="232" ht="14.25" customHeight="1">
      <c r="L232" s="71"/>
    </row>
    <row r="233" ht="14.25" customHeight="1">
      <c r="L233" s="71"/>
    </row>
    <row r="234" ht="14.25" customHeight="1">
      <c r="L234" s="71"/>
    </row>
    <row r="235" ht="14.25" customHeight="1">
      <c r="L235" s="71"/>
    </row>
    <row r="236" ht="14.25" customHeight="1">
      <c r="L236" s="71"/>
    </row>
    <row r="237" ht="14.25" customHeight="1">
      <c r="L237" s="71"/>
    </row>
    <row r="238" ht="14.25" customHeight="1">
      <c r="L238" s="71"/>
    </row>
    <row r="239" ht="14.25" customHeight="1">
      <c r="L239" s="71"/>
    </row>
    <row r="240" ht="14.25" customHeight="1">
      <c r="L240" s="71"/>
    </row>
    <row r="241" ht="14.25" customHeight="1">
      <c r="L241" s="71"/>
    </row>
    <row r="242" ht="14.25" customHeight="1">
      <c r="L242" s="71"/>
    </row>
    <row r="243" ht="14.25" customHeight="1">
      <c r="L243" s="71"/>
    </row>
    <row r="244" ht="14.25" customHeight="1">
      <c r="L244" s="71"/>
    </row>
    <row r="245" ht="14.25" customHeight="1">
      <c r="L245" s="71"/>
    </row>
    <row r="246" ht="14.25" customHeight="1">
      <c r="L246" s="71"/>
    </row>
    <row r="247" ht="14.25" customHeight="1">
      <c r="L247" s="71"/>
    </row>
    <row r="248" ht="14.25" customHeight="1">
      <c r="L248" s="71"/>
    </row>
    <row r="249" ht="14.25" customHeight="1">
      <c r="L249" s="71"/>
    </row>
    <row r="250" ht="14.25" customHeight="1">
      <c r="L250" s="71"/>
    </row>
    <row r="251" ht="14.25" customHeight="1">
      <c r="L251" s="71"/>
    </row>
    <row r="252" ht="14.25" customHeight="1">
      <c r="L252" s="71"/>
    </row>
    <row r="253" ht="14.25" customHeight="1">
      <c r="L253" s="71"/>
    </row>
    <row r="254" ht="14.25" customHeight="1">
      <c r="L254" s="71"/>
    </row>
    <row r="255" ht="14.25" customHeight="1">
      <c r="L255" s="71"/>
    </row>
    <row r="256" ht="14.25" customHeight="1">
      <c r="L256" s="71"/>
    </row>
    <row r="257" ht="14.25" customHeight="1">
      <c r="L257" s="71"/>
    </row>
    <row r="258" ht="14.25" customHeight="1">
      <c r="L258" s="71"/>
    </row>
    <row r="259" ht="14.25" customHeight="1">
      <c r="L259" s="71"/>
    </row>
    <row r="260" ht="14.25" customHeight="1">
      <c r="L260" s="71"/>
    </row>
    <row r="261" ht="14.25" customHeight="1">
      <c r="L261" s="71"/>
    </row>
    <row r="262" ht="14.25" customHeight="1">
      <c r="L262" s="71"/>
    </row>
    <row r="263" ht="14.25" customHeight="1">
      <c r="L263" s="71"/>
    </row>
    <row r="264" ht="14.25" customHeight="1">
      <c r="L264" s="71"/>
    </row>
    <row r="265" ht="14.25" customHeight="1">
      <c r="L265" s="71"/>
    </row>
    <row r="266" ht="14.25" customHeight="1">
      <c r="L266" s="71"/>
    </row>
    <row r="267" ht="14.25" customHeight="1">
      <c r="L267" s="71"/>
    </row>
    <row r="268" ht="14.25" customHeight="1">
      <c r="L268" s="71"/>
    </row>
    <row r="269" ht="14.25" customHeight="1">
      <c r="L269" s="71"/>
    </row>
    <row r="270" ht="14.25" customHeight="1">
      <c r="L270" s="71"/>
    </row>
    <row r="271" ht="14.25" customHeight="1">
      <c r="L271" s="71"/>
    </row>
    <row r="272" ht="14.25" customHeight="1">
      <c r="L272" s="71"/>
    </row>
    <row r="273" ht="14.25" customHeight="1">
      <c r="L273" s="71"/>
    </row>
    <row r="274" ht="14.25" customHeight="1">
      <c r="L274" s="71"/>
    </row>
    <row r="275" ht="14.25" customHeight="1">
      <c r="L275" s="71"/>
    </row>
    <row r="276" ht="14.25" customHeight="1">
      <c r="L276" s="71"/>
    </row>
    <row r="277" ht="14.25" customHeight="1">
      <c r="L277" s="71"/>
    </row>
    <row r="278" ht="14.25" customHeight="1">
      <c r="L278" s="71"/>
    </row>
    <row r="279" ht="14.25" customHeight="1">
      <c r="L279" s="71"/>
    </row>
    <row r="280" ht="14.25" customHeight="1">
      <c r="L280" s="71"/>
    </row>
    <row r="281" ht="14.25" customHeight="1">
      <c r="L281" s="71"/>
    </row>
    <row r="282" ht="14.25" customHeight="1">
      <c r="L282" s="71"/>
    </row>
    <row r="283" ht="14.25" customHeight="1">
      <c r="L283" s="71"/>
    </row>
    <row r="284" ht="14.25" customHeight="1">
      <c r="L284" s="71"/>
    </row>
    <row r="285" ht="14.25" customHeight="1">
      <c r="L285" s="71"/>
    </row>
    <row r="286" ht="14.25" customHeight="1">
      <c r="L286" s="71"/>
    </row>
    <row r="287" ht="14.25" customHeight="1">
      <c r="L287" s="71"/>
    </row>
    <row r="288" ht="14.25" customHeight="1">
      <c r="L288" s="71"/>
    </row>
    <row r="289" ht="14.25" customHeight="1">
      <c r="L289" s="71"/>
    </row>
    <row r="290" ht="14.25" customHeight="1">
      <c r="L290" s="71"/>
    </row>
    <row r="291" ht="14.25" customHeight="1">
      <c r="L291" s="71"/>
    </row>
    <row r="292" ht="14.25" customHeight="1">
      <c r="L292" s="71"/>
    </row>
    <row r="293" ht="14.25" customHeight="1">
      <c r="L293" s="71"/>
    </row>
    <row r="294" ht="14.25" customHeight="1">
      <c r="L294" s="71"/>
    </row>
    <row r="295" ht="14.25" customHeight="1">
      <c r="L295" s="71"/>
    </row>
    <row r="296" ht="14.25" customHeight="1">
      <c r="L296" s="71"/>
    </row>
    <row r="297" ht="14.25" customHeight="1">
      <c r="L297" s="71"/>
    </row>
    <row r="298" ht="14.25" customHeight="1">
      <c r="L298" s="71"/>
    </row>
    <row r="299" ht="14.25" customHeight="1">
      <c r="L299" s="71"/>
    </row>
    <row r="300" ht="14.25" customHeight="1">
      <c r="L300" s="71"/>
    </row>
    <row r="301" ht="14.25" customHeight="1">
      <c r="L301" s="71"/>
    </row>
    <row r="302" ht="14.25" customHeight="1">
      <c r="L302" s="71"/>
    </row>
    <row r="303" ht="14.25" customHeight="1">
      <c r="L303" s="71"/>
    </row>
    <row r="304" ht="14.25" customHeight="1">
      <c r="L304" s="71"/>
    </row>
    <row r="305" ht="14.25" customHeight="1">
      <c r="L305" s="71"/>
    </row>
    <row r="306" ht="14.25" customHeight="1">
      <c r="L306" s="71"/>
    </row>
    <row r="307" ht="14.25" customHeight="1">
      <c r="L307" s="71"/>
    </row>
    <row r="308" ht="14.25" customHeight="1">
      <c r="L308" s="71"/>
    </row>
    <row r="309" ht="14.25" customHeight="1">
      <c r="L309" s="71"/>
    </row>
    <row r="310" ht="14.25" customHeight="1">
      <c r="L310" s="71"/>
    </row>
    <row r="311" ht="14.25" customHeight="1">
      <c r="L311" s="71"/>
    </row>
    <row r="312" ht="14.25" customHeight="1">
      <c r="L312" s="71"/>
    </row>
    <row r="313" ht="14.25" customHeight="1">
      <c r="L313" s="71"/>
    </row>
    <row r="314" ht="14.25" customHeight="1">
      <c r="L314" s="71"/>
    </row>
    <row r="315" ht="14.25" customHeight="1">
      <c r="L315" s="71"/>
    </row>
    <row r="316" ht="14.25" customHeight="1">
      <c r="L316" s="71"/>
    </row>
    <row r="317" ht="14.25" customHeight="1">
      <c r="L317" s="71"/>
    </row>
    <row r="318" ht="14.25" customHeight="1">
      <c r="L318" s="71"/>
    </row>
    <row r="319" ht="14.25" customHeight="1">
      <c r="L319" s="71"/>
    </row>
    <row r="320" ht="14.25" customHeight="1">
      <c r="L320" s="71"/>
    </row>
    <row r="321" ht="14.25" customHeight="1">
      <c r="L321" s="71"/>
    </row>
    <row r="322" ht="14.25" customHeight="1">
      <c r="L322" s="71"/>
    </row>
    <row r="323" ht="14.25" customHeight="1">
      <c r="L323" s="71"/>
    </row>
    <row r="324" ht="14.25" customHeight="1">
      <c r="L324" s="71"/>
    </row>
    <row r="325" ht="14.25" customHeight="1">
      <c r="L325" s="71"/>
    </row>
    <row r="326" ht="14.25" customHeight="1">
      <c r="L326" s="71"/>
    </row>
    <row r="327" ht="14.25" customHeight="1">
      <c r="L327" s="71"/>
    </row>
    <row r="328" ht="14.25" customHeight="1">
      <c r="L328" s="71"/>
    </row>
    <row r="329" ht="14.25" customHeight="1">
      <c r="L329" s="71"/>
    </row>
    <row r="330" ht="14.25" customHeight="1">
      <c r="L330" s="71"/>
    </row>
    <row r="331" ht="14.25" customHeight="1">
      <c r="L331" s="71"/>
    </row>
    <row r="332" ht="14.25" customHeight="1">
      <c r="L332" s="71"/>
    </row>
    <row r="333" ht="14.25" customHeight="1">
      <c r="L333" s="71"/>
    </row>
    <row r="334" ht="14.25" customHeight="1">
      <c r="L334" s="71"/>
    </row>
    <row r="335" ht="14.25" customHeight="1">
      <c r="L335" s="71"/>
    </row>
    <row r="336" ht="14.25" customHeight="1">
      <c r="L336" s="71"/>
    </row>
    <row r="337" ht="14.25" customHeight="1">
      <c r="L337" s="71"/>
    </row>
    <row r="338" ht="14.25" customHeight="1">
      <c r="L338" s="71"/>
    </row>
    <row r="339" ht="14.25" customHeight="1">
      <c r="L339" s="71"/>
    </row>
    <row r="340" ht="14.25" customHeight="1">
      <c r="L340" s="71"/>
    </row>
    <row r="341" ht="14.25" customHeight="1">
      <c r="L341" s="71"/>
    </row>
    <row r="342" ht="14.25" customHeight="1">
      <c r="L342" s="71"/>
    </row>
    <row r="343" ht="14.25" customHeight="1">
      <c r="L343" s="71"/>
    </row>
    <row r="344" ht="14.25" customHeight="1">
      <c r="L344" s="71"/>
    </row>
    <row r="345" ht="14.25" customHeight="1">
      <c r="L345" s="71"/>
    </row>
    <row r="346" ht="14.25" customHeight="1">
      <c r="L346" s="71"/>
    </row>
    <row r="347" ht="14.25" customHeight="1">
      <c r="L347" s="71"/>
    </row>
    <row r="348" ht="14.25" customHeight="1">
      <c r="L348" s="71"/>
    </row>
    <row r="349" ht="14.25" customHeight="1">
      <c r="L349" s="71"/>
    </row>
    <row r="350" ht="14.25" customHeight="1">
      <c r="L350" s="71"/>
    </row>
    <row r="351" ht="14.25" customHeight="1">
      <c r="L351" s="71"/>
    </row>
    <row r="352" ht="14.25" customHeight="1">
      <c r="L352" s="71"/>
    </row>
    <row r="353" ht="14.25" customHeight="1">
      <c r="L353" s="71"/>
    </row>
    <row r="354" ht="14.25" customHeight="1">
      <c r="L354" s="71"/>
    </row>
    <row r="355" ht="14.25" customHeight="1">
      <c r="L355" s="71"/>
    </row>
    <row r="356" ht="14.25" customHeight="1">
      <c r="L356" s="71"/>
    </row>
    <row r="357" ht="14.25" customHeight="1">
      <c r="L357" s="71"/>
    </row>
    <row r="358" ht="14.25" customHeight="1">
      <c r="L358" s="71"/>
    </row>
    <row r="359" ht="14.25" customHeight="1">
      <c r="L359" s="71"/>
    </row>
    <row r="360" ht="14.25" customHeight="1">
      <c r="L360" s="71"/>
    </row>
    <row r="361" ht="14.25" customHeight="1">
      <c r="L361" s="71"/>
    </row>
    <row r="362" ht="14.25" customHeight="1">
      <c r="L362" s="71"/>
    </row>
    <row r="363" ht="14.25" customHeight="1">
      <c r="L363" s="71"/>
    </row>
    <row r="364" ht="14.25" customHeight="1">
      <c r="L364" s="71"/>
    </row>
    <row r="365" ht="14.25" customHeight="1">
      <c r="L365" s="71"/>
    </row>
    <row r="366" ht="14.25" customHeight="1">
      <c r="L366" s="71"/>
    </row>
    <row r="367" ht="14.25" customHeight="1">
      <c r="L367" s="71"/>
    </row>
    <row r="368" ht="14.25" customHeight="1">
      <c r="L368" s="71"/>
    </row>
    <row r="369" ht="14.25" customHeight="1">
      <c r="L369" s="71"/>
    </row>
    <row r="370" ht="14.25" customHeight="1">
      <c r="L370" s="71"/>
    </row>
    <row r="371" ht="14.25" customHeight="1">
      <c r="L371" s="71"/>
    </row>
    <row r="372" ht="14.25" customHeight="1">
      <c r="L372" s="71"/>
    </row>
    <row r="373" ht="14.25" customHeight="1">
      <c r="L373" s="71"/>
    </row>
    <row r="374" ht="14.25" customHeight="1">
      <c r="L374" s="71"/>
    </row>
    <row r="375" ht="14.25" customHeight="1">
      <c r="L375" s="71"/>
    </row>
    <row r="376" ht="14.25" customHeight="1">
      <c r="L376" s="71"/>
    </row>
    <row r="377" ht="14.25" customHeight="1">
      <c r="L377" s="71"/>
    </row>
    <row r="378" ht="14.25" customHeight="1">
      <c r="L378" s="71"/>
    </row>
    <row r="379" ht="14.25" customHeight="1">
      <c r="L379" s="71"/>
    </row>
    <row r="380" ht="14.25" customHeight="1">
      <c r="L380" s="71"/>
    </row>
    <row r="381" ht="14.25" customHeight="1">
      <c r="L381" s="71"/>
    </row>
    <row r="382" ht="14.25" customHeight="1">
      <c r="L382" s="71"/>
    </row>
    <row r="383" ht="14.25" customHeight="1">
      <c r="L383" s="71"/>
    </row>
    <row r="384" ht="14.25" customHeight="1">
      <c r="L384" s="71"/>
    </row>
    <row r="385" ht="14.25" customHeight="1">
      <c r="L385" s="71"/>
    </row>
    <row r="386" ht="14.25" customHeight="1">
      <c r="L386" s="71"/>
    </row>
    <row r="387" ht="14.25" customHeight="1">
      <c r="L387" s="71"/>
    </row>
    <row r="388" ht="14.25" customHeight="1">
      <c r="L388" s="71"/>
    </row>
    <row r="389" ht="14.25" customHeight="1">
      <c r="L389" s="71"/>
    </row>
    <row r="390" ht="14.25" customHeight="1">
      <c r="L390" s="71"/>
    </row>
    <row r="391" ht="14.25" customHeight="1">
      <c r="L391" s="71"/>
    </row>
    <row r="392" ht="14.25" customHeight="1">
      <c r="L392" s="71"/>
    </row>
    <row r="393" ht="14.25" customHeight="1">
      <c r="L393" s="71"/>
    </row>
    <row r="394" ht="14.25" customHeight="1">
      <c r="L394" s="71"/>
    </row>
    <row r="395" ht="14.25" customHeight="1">
      <c r="L395" s="71"/>
    </row>
    <row r="396" ht="14.25" customHeight="1">
      <c r="L396" s="71"/>
    </row>
    <row r="397" ht="14.25" customHeight="1">
      <c r="L397" s="71"/>
    </row>
    <row r="398" ht="14.25" customHeight="1">
      <c r="L398" s="71"/>
    </row>
    <row r="399" ht="14.25" customHeight="1">
      <c r="L399" s="71"/>
    </row>
    <row r="400" ht="14.25" customHeight="1">
      <c r="L400" s="71"/>
    </row>
    <row r="401" ht="14.25" customHeight="1">
      <c r="L401" s="71"/>
    </row>
    <row r="402" ht="14.25" customHeight="1">
      <c r="L402" s="71"/>
    </row>
    <row r="403" ht="14.25" customHeight="1">
      <c r="L403" s="71"/>
    </row>
    <row r="404" ht="14.25" customHeight="1">
      <c r="L404" s="71"/>
    </row>
    <row r="405" ht="14.25" customHeight="1">
      <c r="L405" s="71"/>
    </row>
    <row r="406" ht="14.25" customHeight="1">
      <c r="L406" s="71"/>
    </row>
    <row r="407" ht="14.25" customHeight="1">
      <c r="L407" s="71"/>
    </row>
    <row r="408" ht="14.25" customHeight="1">
      <c r="L408" s="71"/>
    </row>
    <row r="409" ht="14.25" customHeight="1">
      <c r="L409" s="71"/>
    </row>
    <row r="410" ht="14.25" customHeight="1">
      <c r="L410" s="71"/>
    </row>
    <row r="411" ht="14.25" customHeight="1">
      <c r="L411" s="71"/>
    </row>
    <row r="412" ht="14.25" customHeight="1">
      <c r="L412" s="71"/>
    </row>
    <row r="413" ht="14.25" customHeight="1">
      <c r="L413" s="71"/>
    </row>
    <row r="414" ht="14.25" customHeight="1">
      <c r="L414" s="71"/>
    </row>
    <row r="415" ht="14.25" customHeight="1">
      <c r="L415" s="71"/>
    </row>
    <row r="416" ht="14.25" customHeight="1">
      <c r="L416" s="71"/>
    </row>
    <row r="417" ht="14.25" customHeight="1">
      <c r="L417" s="71"/>
    </row>
    <row r="418" ht="14.25" customHeight="1">
      <c r="L418" s="71"/>
    </row>
    <row r="419" ht="14.25" customHeight="1">
      <c r="L419" s="71"/>
    </row>
    <row r="420" ht="14.25" customHeight="1">
      <c r="L420" s="71"/>
    </row>
    <row r="421" ht="14.25" customHeight="1">
      <c r="L421" s="71"/>
    </row>
    <row r="422" ht="14.25" customHeight="1">
      <c r="L422" s="71"/>
    </row>
    <row r="423" ht="14.25" customHeight="1">
      <c r="L423" s="71"/>
    </row>
    <row r="424" ht="14.25" customHeight="1">
      <c r="L424" s="71"/>
    </row>
    <row r="425" ht="14.25" customHeight="1">
      <c r="L425" s="71"/>
    </row>
    <row r="426" ht="14.25" customHeight="1">
      <c r="L426" s="71"/>
    </row>
    <row r="427" ht="14.25" customHeight="1">
      <c r="L427" s="71"/>
    </row>
    <row r="428" ht="14.25" customHeight="1">
      <c r="L428" s="71"/>
    </row>
    <row r="429" ht="14.25" customHeight="1">
      <c r="L429" s="71"/>
    </row>
    <row r="430" ht="14.25" customHeight="1">
      <c r="L430" s="71"/>
    </row>
    <row r="431" ht="14.25" customHeight="1">
      <c r="L431" s="71"/>
    </row>
    <row r="432" ht="14.25" customHeight="1">
      <c r="L432" s="71"/>
    </row>
    <row r="433" ht="14.25" customHeight="1">
      <c r="L433" s="71"/>
    </row>
    <row r="434" ht="14.25" customHeight="1">
      <c r="L434" s="71"/>
    </row>
    <row r="435" ht="14.25" customHeight="1">
      <c r="L435" s="71"/>
    </row>
    <row r="436" ht="14.25" customHeight="1">
      <c r="L436" s="71"/>
    </row>
    <row r="437" ht="14.25" customHeight="1">
      <c r="L437" s="71"/>
    </row>
    <row r="438" ht="14.25" customHeight="1">
      <c r="L438" s="71"/>
    </row>
    <row r="439" ht="14.25" customHeight="1">
      <c r="L439" s="71"/>
    </row>
    <row r="440" ht="14.25" customHeight="1">
      <c r="L440" s="71"/>
    </row>
    <row r="441" ht="14.25" customHeight="1">
      <c r="L441" s="71"/>
    </row>
    <row r="442" ht="14.25" customHeight="1">
      <c r="L442" s="71"/>
    </row>
    <row r="443" ht="14.25" customHeight="1">
      <c r="L443" s="71"/>
    </row>
    <row r="444" ht="14.25" customHeight="1">
      <c r="L444" s="71"/>
    </row>
    <row r="445" ht="14.25" customHeight="1">
      <c r="L445" s="71"/>
    </row>
    <row r="446" ht="14.25" customHeight="1">
      <c r="L446" s="71"/>
    </row>
    <row r="447" ht="14.25" customHeight="1">
      <c r="L447" s="71"/>
    </row>
    <row r="448" ht="14.25" customHeight="1">
      <c r="L448" s="71"/>
    </row>
    <row r="449" ht="14.25" customHeight="1">
      <c r="L449" s="71"/>
    </row>
    <row r="450" ht="14.25" customHeight="1">
      <c r="L450" s="71"/>
    </row>
    <row r="451" ht="14.25" customHeight="1">
      <c r="L451" s="71"/>
    </row>
    <row r="452" ht="14.25" customHeight="1">
      <c r="L452" s="71"/>
    </row>
    <row r="453" ht="14.25" customHeight="1">
      <c r="L453" s="71"/>
    </row>
    <row r="454" ht="14.25" customHeight="1">
      <c r="L454" s="71"/>
    </row>
    <row r="455" ht="14.25" customHeight="1">
      <c r="L455" s="71"/>
    </row>
    <row r="456" ht="14.25" customHeight="1">
      <c r="L456" s="71"/>
    </row>
    <row r="457" ht="14.25" customHeight="1">
      <c r="L457" s="71"/>
    </row>
    <row r="458" ht="14.25" customHeight="1">
      <c r="L458" s="71"/>
    </row>
    <row r="459" ht="14.25" customHeight="1">
      <c r="L459" s="71"/>
    </row>
    <row r="460" ht="14.25" customHeight="1">
      <c r="L460" s="71"/>
    </row>
    <row r="461" ht="14.25" customHeight="1">
      <c r="L461" s="71"/>
    </row>
    <row r="462" ht="14.25" customHeight="1">
      <c r="L462" s="71"/>
    </row>
    <row r="463" ht="14.25" customHeight="1">
      <c r="L463" s="71"/>
    </row>
    <row r="464" ht="14.25" customHeight="1">
      <c r="L464" s="71"/>
    </row>
    <row r="465" ht="14.25" customHeight="1">
      <c r="L465" s="71"/>
    </row>
    <row r="466" ht="14.25" customHeight="1">
      <c r="L466" s="71"/>
    </row>
    <row r="467" ht="14.25" customHeight="1">
      <c r="L467" s="71"/>
    </row>
    <row r="468" ht="14.25" customHeight="1">
      <c r="L468" s="71"/>
    </row>
    <row r="469" ht="14.25" customHeight="1">
      <c r="L469" s="71"/>
    </row>
    <row r="470" ht="14.25" customHeight="1">
      <c r="L470" s="71"/>
    </row>
    <row r="471" ht="14.25" customHeight="1">
      <c r="L471" s="71"/>
    </row>
    <row r="472" ht="14.25" customHeight="1">
      <c r="L472" s="71"/>
    </row>
    <row r="473" ht="14.25" customHeight="1">
      <c r="L473" s="71"/>
    </row>
    <row r="474" ht="14.25" customHeight="1">
      <c r="L474" s="71"/>
    </row>
    <row r="475" ht="14.25" customHeight="1">
      <c r="L475" s="71"/>
    </row>
    <row r="476" ht="14.25" customHeight="1">
      <c r="L476" s="71"/>
    </row>
    <row r="477" ht="14.25" customHeight="1">
      <c r="L477" s="71"/>
    </row>
    <row r="478" ht="14.25" customHeight="1">
      <c r="L478" s="71"/>
    </row>
    <row r="479" ht="14.25" customHeight="1">
      <c r="L479" s="71"/>
    </row>
    <row r="480" ht="14.25" customHeight="1">
      <c r="L480" s="71"/>
    </row>
    <row r="481" ht="14.25" customHeight="1">
      <c r="L481" s="71"/>
    </row>
    <row r="482" ht="14.25" customHeight="1">
      <c r="L482" s="71"/>
    </row>
    <row r="483" ht="14.25" customHeight="1">
      <c r="L483" s="71"/>
    </row>
    <row r="484" ht="14.25" customHeight="1">
      <c r="L484" s="71"/>
    </row>
    <row r="485" ht="14.25" customHeight="1">
      <c r="L485" s="71"/>
    </row>
    <row r="486" ht="14.25" customHeight="1">
      <c r="L486" s="71"/>
    </row>
    <row r="487" ht="14.25" customHeight="1">
      <c r="L487" s="71"/>
    </row>
    <row r="488" ht="14.25" customHeight="1">
      <c r="L488" s="71"/>
    </row>
    <row r="489" ht="14.25" customHeight="1">
      <c r="L489" s="71"/>
    </row>
    <row r="490" ht="14.25" customHeight="1">
      <c r="L490" s="71"/>
    </row>
    <row r="491" ht="14.25" customHeight="1">
      <c r="L491" s="71"/>
    </row>
    <row r="492" ht="14.25" customHeight="1">
      <c r="L492" s="71"/>
    </row>
    <row r="493" ht="14.25" customHeight="1">
      <c r="L493" s="71"/>
    </row>
    <row r="494" ht="14.25" customHeight="1">
      <c r="L494" s="71"/>
    </row>
    <row r="495" ht="14.25" customHeight="1">
      <c r="L495" s="71"/>
    </row>
    <row r="496" ht="14.25" customHeight="1">
      <c r="L496" s="71"/>
    </row>
    <row r="497" ht="14.25" customHeight="1">
      <c r="L497" s="71"/>
    </row>
    <row r="498" ht="14.25" customHeight="1">
      <c r="L498" s="71"/>
    </row>
    <row r="499" ht="14.25" customHeight="1">
      <c r="L499" s="71"/>
    </row>
    <row r="500" ht="14.25" customHeight="1">
      <c r="L500" s="71"/>
    </row>
    <row r="501" ht="14.25" customHeight="1">
      <c r="L501" s="71"/>
    </row>
    <row r="502" ht="14.25" customHeight="1">
      <c r="L502" s="71"/>
    </row>
    <row r="503" ht="14.25" customHeight="1">
      <c r="L503" s="71"/>
    </row>
    <row r="504" ht="14.25" customHeight="1">
      <c r="L504" s="71"/>
    </row>
    <row r="505" ht="14.25" customHeight="1">
      <c r="L505" s="71"/>
    </row>
    <row r="506" ht="14.25" customHeight="1">
      <c r="L506" s="71"/>
    </row>
    <row r="507" ht="14.25" customHeight="1">
      <c r="L507" s="71"/>
    </row>
    <row r="508" ht="14.25" customHeight="1">
      <c r="L508" s="71"/>
    </row>
    <row r="509" ht="14.25" customHeight="1">
      <c r="L509" s="71"/>
    </row>
    <row r="510" ht="14.25" customHeight="1">
      <c r="L510" s="71"/>
    </row>
    <row r="511" ht="14.25" customHeight="1">
      <c r="L511" s="71"/>
    </row>
    <row r="512" ht="14.25" customHeight="1">
      <c r="L512" s="71"/>
    </row>
    <row r="513" ht="14.25" customHeight="1">
      <c r="L513" s="71"/>
    </row>
    <row r="514" ht="14.25" customHeight="1">
      <c r="L514" s="71"/>
    </row>
    <row r="515" ht="14.25" customHeight="1">
      <c r="L515" s="71"/>
    </row>
    <row r="516" ht="14.25" customHeight="1">
      <c r="L516" s="71"/>
    </row>
    <row r="517" ht="14.25" customHeight="1">
      <c r="L517" s="71"/>
    </row>
    <row r="518" ht="14.25" customHeight="1">
      <c r="L518" s="71"/>
    </row>
    <row r="519" ht="14.25" customHeight="1">
      <c r="L519" s="71"/>
    </row>
    <row r="520" ht="14.25" customHeight="1">
      <c r="L520" s="71"/>
    </row>
    <row r="521" ht="14.25" customHeight="1">
      <c r="L521" s="71"/>
    </row>
    <row r="522" ht="14.25" customHeight="1">
      <c r="L522" s="71"/>
    </row>
    <row r="523" ht="14.25" customHeight="1">
      <c r="L523" s="71"/>
    </row>
    <row r="524" ht="14.25" customHeight="1">
      <c r="L524" s="71"/>
    </row>
    <row r="525" ht="14.25" customHeight="1">
      <c r="L525" s="71"/>
    </row>
    <row r="526" ht="14.25" customHeight="1">
      <c r="L526" s="71"/>
    </row>
    <row r="527" ht="14.25" customHeight="1">
      <c r="L527" s="71"/>
    </row>
    <row r="528" ht="14.25" customHeight="1">
      <c r="L528" s="71"/>
    </row>
    <row r="529" ht="14.25" customHeight="1">
      <c r="L529" s="71"/>
    </row>
    <row r="530" ht="14.25" customHeight="1">
      <c r="L530" s="71"/>
    </row>
    <row r="531" ht="14.25" customHeight="1">
      <c r="L531" s="71"/>
    </row>
    <row r="532" ht="14.25" customHeight="1">
      <c r="L532" s="71"/>
    </row>
    <row r="533" ht="14.25" customHeight="1">
      <c r="L533" s="71"/>
    </row>
    <row r="534" ht="14.25" customHeight="1">
      <c r="L534" s="71"/>
    </row>
    <row r="535" ht="14.25" customHeight="1">
      <c r="L535" s="71"/>
    </row>
    <row r="536" ht="14.25" customHeight="1">
      <c r="L536" s="71"/>
    </row>
    <row r="537" ht="14.25" customHeight="1">
      <c r="L537" s="71"/>
    </row>
    <row r="538" ht="14.25" customHeight="1">
      <c r="L538" s="71"/>
    </row>
    <row r="539" ht="14.25" customHeight="1">
      <c r="L539" s="71"/>
    </row>
    <row r="540" ht="14.25" customHeight="1">
      <c r="L540" s="71"/>
    </row>
    <row r="541" ht="14.25" customHeight="1">
      <c r="L541" s="71"/>
    </row>
    <row r="542" ht="14.25" customHeight="1">
      <c r="L542" s="71"/>
    </row>
    <row r="543" ht="14.25" customHeight="1">
      <c r="L543" s="71"/>
    </row>
    <row r="544" ht="14.25" customHeight="1">
      <c r="L544" s="71"/>
    </row>
    <row r="545" ht="14.25" customHeight="1">
      <c r="L545" s="71"/>
    </row>
    <row r="546" ht="14.25" customHeight="1">
      <c r="L546" s="71"/>
    </row>
    <row r="547" ht="14.25" customHeight="1">
      <c r="L547" s="71"/>
    </row>
    <row r="548" ht="14.25" customHeight="1">
      <c r="L548" s="71"/>
    </row>
    <row r="549" ht="14.25" customHeight="1">
      <c r="L549" s="71"/>
    </row>
    <row r="550" ht="14.25" customHeight="1">
      <c r="L550" s="71"/>
    </row>
    <row r="551" ht="14.25" customHeight="1">
      <c r="L551" s="71"/>
    </row>
    <row r="552" ht="14.25" customHeight="1">
      <c r="L552" s="71"/>
    </row>
    <row r="553" ht="14.25" customHeight="1">
      <c r="L553" s="71"/>
    </row>
    <row r="554" ht="14.25" customHeight="1">
      <c r="L554" s="71"/>
    </row>
    <row r="555" ht="14.25" customHeight="1">
      <c r="L555" s="71"/>
    </row>
    <row r="556" ht="14.25" customHeight="1">
      <c r="L556" s="71"/>
    </row>
    <row r="557" ht="14.25" customHeight="1">
      <c r="L557" s="71"/>
    </row>
    <row r="558" ht="14.25" customHeight="1">
      <c r="L558" s="71"/>
    </row>
    <row r="559" ht="14.25" customHeight="1">
      <c r="L559" s="71"/>
    </row>
    <row r="560" ht="14.25" customHeight="1">
      <c r="L560" s="71"/>
    </row>
    <row r="561" ht="14.25" customHeight="1">
      <c r="L561" s="71"/>
    </row>
    <row r="562" ht="14.25" customHeight="1">
      <c r="L562" s="71"/>
    </row>
    <row r="563" ht="14.25" customHeight="1">
      <c r="L563" s="71"/>
    </row>
    <row r="564" ht="14.25" customHeight="1">
      <c r="L564" s="71"/>
    </row>
    <row r="565" ht="14.25" customHeight="1">
      <c r="L565" s="71"/>
    </row>
    <row r="566" ht="14.25" customHeight="1">
      <c r="L566" s="71"/>
    </row>
    <row r="567" ht="14.25" customHeight="1">
      <c r="L567" s="71"/>
    </row>
    <row r="568" ht="14.25" customHeight="1">
      <c r="L568" s="71"/>
    </row>
    <row r="569" ht="14.25" customHeight="1">
      <c r="L569" s="71"/>
    </row>
    <row r="570" ht="14.25" customHeight="1">
      <c r="L570" s="71"/>
    </row>
    <row r="571" ht="14.25" customHeight="1">
      <c r="L571" s="71"/>
    </row>
    <row r="572" ht="14.25" customHeight="1">
      <c r="L572" s="71"/>
    </row>
    <row r="573" ht="14.25" customHeight="1">
      <c r="L573" s="71"/>
    </row>
    <row r="574" ht="14.25" customHeight="1">
      <c r="L574" s="71"/>
    </row>
    <row r="575" ht="14.25" customHeight="1">
      <c r="L575" s="71"/>
    </row>
    <row r="576" ht="14.25" customHeight="1">
      <c r="L576" s="71"/>
    </row>
    <row r="577" ht="14.25" customHeight="1">
      <c r="L577" s="71"/>
    </row>
    <row r="578" ht="14.25" customHeight="1">
      <c r="L578" s="71"/>
    </row>
    <row r="579" ht="14.25" customHeight="1">
      <c r="L579" s="71"/>
    </row>
    <row r="580" ht="14.25" customHeight="1">
      <c r="L580" s="71"/>
    </row>
    <row r="581" ht="14.25" customHeight="1">
      <c r="L581" s="71"/>
    </row>
    <row r="582" ht="14.25" customHeight="1">
      <c r="L582" s="71"/>
    </row>
    <row r="583" ht="14.25" customHeight="1">
      <c r="L583" s="71"/>
    </row>
    <row r="584" ht="14.25" customHeight="1">
      <c r="L584" s="71"/>
    </row>
    <row r="585" ht="14.25" customHeight="1">
      <c r="L585" s="71"/>
    </row>
    <row r="586" ht="14.25" customHeight="1">
      <c r="L586" s="71"/>
    </row>
    <row r="587" ht="14.25" customHeight="1">
      <c r="L587" s="71"/>
    </row>
    <row r="588" ht="14.25" customHeight="1">
      <c r="L588" s="71"/>
    </row>
    <row r="589" ht="14.25" customHeight="1">
      <c r="L589" s="71"/>
    </row>
    <row r="590" ht="14.25" customHeight="1">
      <c r="L590" s="71"/>
    </row>
    <row r="591" ht="14.25" customHeight="1">
      <c r="L591" s="71"/>
    </row>
    <row r="592" ht="14.25" customHeight="1">
      <c r="L592" s="71"/>
    </row>
    <row r="593" ht="14.25" customHeight="1">
      <c r="L593" s="71"/>
    </row>
    <row r="594" ht="14.25" customHeight="1">
      <c r="L594" s="71"/>
    </row>
    <row r="595" ht="14.25" customHeight="1">
      <c r="L595" s="71"/>
    </row>
    <row r="596" ht="14.25" customHeight="1">
      <c r="L596" s="71"/>
    </row>
    <row r="597" ht="14.25" customHeight="1">
      <c r="L597" s="71"/>
    </row>
    <row r="598" ht="14.25" customHeight="1">
      <c r="L598" s="71"/>
    </row>
    <row r="599" ht="14.25" customHeight="1">
      <c r="L599" s="71"/>
    </row>
    <row r="600" ht="14.25" customHeight="1">
      <c r="L600" s="71"/>
    </row>
    <row r="601" ht="14.25" customHeight="1">
      <c r="L601" s="71"/>
    </row>
    <row r="602" ht="14.25" customHeight="1">
      <c r="L602" s="71"/>
    </row>
    <row r="603" ht="14.25" customHeight="1">
      <c r="L603" s="71"/>
    </row>
    <row r="604" ht="14.25" customHeight="1">
      <c r="L604" s="71"/>
    </row>
    <row r="605" ht="14.25" customHeight="1">
      <c r="L605" s="71"/>
    </row>
    <row r="606" ht="14.25" customHeight="1">
      <c r="L606" s="71"/>
    </row>
    <row r="607" ht="14.25" customHeight="1">
      <c r="L607" s="71"/>
    </row>
    <row r="608" ht="14.25" customHeight="1">
      <c r="L608" s="71"/>
    </row>
    <row r="609" ht="14.25" customHeight="1">
      <c r="L609" s="71"/>
    </row>
    <row r="610" ht="14.25" customHeight="1">
      <c r="L610" s="71"/>
    </row>
    <row r="611" ht="14.25" customHeight="1">
      <c r="L611" s="71"/>
    </row>
    <row r="612" ht="14.25" customHeight="1">
      <c r="L612" s="71"/>
    </row>
    <row r="613" ht="14.25" customHeight="1">
      <c r="L613" s="71"/>
    </row>
    <row r="614" ht="14.25" customHeight="1">
      <c r="L614" s="71"/>
    </row>
    <row r="615" ht="14.25" customHeight="1">
      <c r="L615" s="71"/>
    </row>
    <row r="616" ht="14.25" customHeight="1">
      <c r="L616" s="71"/>
    </row>
    <row r="617" ht="14.25" customHeight="1">
      <c r="L617" s="71"/>
    </row>
    <row r="618" ht="14.25" customHeight="1">
      <c r="L618" s="71"/>
    </row>
    <row r="619" ht="14.25" customHeight="1">
      <c r="L619" s="71"/>
    </row>
    <row r="620" ht="14.25" customHeight="1">
      <c r="L620" s="71"/>
    </row>
    <row r="621" ht="14.25" customHeight="1">
      <c r="L621" s="71"/>
    </row>
    <row r="622" ht="14.25" customHeight="1">
      <c r="L622" s="71"/>
    </row>
    <row r="623" ht="14.25" customHeight="1">
      <c r="L623" s="71"/>
    </row>
    <row r="624" ht="14.25" customHeight="1">
      <c r="L624" s="71"/>
    </row>
    <row r="625" ht="14.25" customHeight="1">
      <c r="L625" s="71"/>
    </row>
    <row r="626" ht="14.25" customHeight="1">
      <c r="L626" s="71"/>
    </row>
    <row r="627" ht="14.25" customHeight="1">
      <c r="L627" s="71"/>
    </row>
    <row r="628" ht="14.25" customHeight="1">
      <c r="L628" s="71"/>
    </row>
    <row r="629" ht="14.25" customHeight="1">
      <c r="L629" s="71"/>
    </row>
    <row r="630" ht="14.25" customHeight="1">
      <c r="L630" s="71"/>
    </row>
    <row r="631" ht="14.25" customHeight="1">
      <c r="L631" s="71"/>
    </row>
    <row r="632" ht="14.25" customHeight="1">
      <c r="L632" s="71"/>
    </row>
    <row r="633" ht="14.25" customHeight="1">
      <c r="L633" s="71"/>
    </row>
    <row r="634" ht="14.25" customHeight="1">
      <c r="L634" s="71"/>
    </row>
    <row r="635" ht="14.25" customHeight="1">
      <c r="L635" s="71"/>
    </row>
    <row r="636" ht="14.25" customHeight="1">
      <c r="L636" s="71"/>
    </row>
    <row r="637" ht="14.25" customHeight="1">
      <c r="L637" s="71"/>
    </row>
    <row r="638" ht="14.25" customHeight="1">
      <c r="L638" s="71"/>
    </row>
    <row r="639" ht="14.25" customHeight="1">
      <c r="L639" s="71"/>
    </row>
    <row r="640" ht="14.25" customHeight="1">
      <c r="L640" s="71"/>
    </row>
    <row r="641" ht="14.25" customHeight="1">
      <c r="L641" s="71"/>
    </row>
    <row r="642" ht="14.25" customHeight="1">
      <c r="L642" s="71"/>
    </row>
    <row r="643" ht="14.25" customHeight="1">
      <c r="L643" s="71"/>
    </row>
    <row r="644" ht="14.25" customHeight="1">
      <c r="L644" s="71"/>
    </row>
    <row r="645" ht="14.25" customHeight="1">
      <c r="L645" s="71"/>
    </row>
    <row r="646" ht="14.25" customHeight="1">
      <c r="L646" s="71"/>
    </row>
    <row r="647" ht="14.25" customHeight="1">
      <c r="L647" s="71"/>
    </row>
    <row r="648" ht="14.25" customHeight="1">
      <c r="L648" s="71"/>
    </row>
    <row r="649" ht="14.25" customHeight="1">
      <c r="L649" s="71"/>
    </row>
    <row r="650" ht="14.25" customHeight="1">
      <c r="L650" s="71"/>
    </row>
    <row r="651" ht="14.25" customHeight="1">
      <c r="L651" s="71"/>
    </row>
    <row r="652" ht="14.25" customHeight="1">
      <c r="L652" s="71"/>
    </row>
    <row r="653" ht="14.25" customHeight="1">
      <c r="L653" s="71"/>
    </row>
    <row r="654" ht="14.25" customHeight="1">
      <c r="L654" s="71"/>
    </row>
    <row r="655" ht="14.25" customHeight="1">
      <c r="L655" s="71"/>
    </row>
    <row r="656" ht="14.25" customHeight="1">
      <c r="L656" s="71"/>
    </row>
    <row r="657" ht="14.25" customHeight="1">
      <c r="L657" s="71"/>
    </row>
    <row r="658" ht="14.25" customHeight="1">
      <c r="L658" s="71"/>
    </row>
    <row r="659" ht="14.25" customHeight="1">
      <c r="L659" s="71"/>
    </row>
    <row r="660" ht="14.25" customHeight="1">
      <c r="L660" s="71"/>
    </row>
    <row r="661" ht="14.25" customHeight="1">
      <c r="L661" s="71"/>
    </row>
    <row r="662" ht="14.25" customHeight="1">
      <c r="L662" s="71"/>
    </row>
    <row r="663" ht="14.25" customHeight="1">
      <c r="L663" s="71"/>
    </row>
    <row r="664" ht="14.25" customHeight="1">
      <c r="L664" s="71"/>
    </row>
    <row r="665" ht="14.25" customHeight="1">
      <c r="L665" s="71"/>
    </row>
    <row r="666" ht="14.25" customHeight="1">
      <c r="L666" s="71"/>
    </row>
    <row r="667" ht="14.25" customHeight="1">
      <c r="L667" s="71"/>
    </row>
    <row r="668" ht="14.25" customHeight="1">
      <c r="L668" s="71"/>
    </row>
    <row r="669" ht="14.25" customHeight="1">
      <c r="L669" s="71"/>
    </row>
    <row r="670" ht="14.25" customHeight="1">
      <c r="L670" s="71"/>
    </row>
    <row r="671" ht="14.25" customHeight="1">
      <c r="L671" s="71"/>
    </row>
    <row r="672" ht="14.25" customHeight="1">
      <c r="L672" s="71"/>
    </row>
    <row r="673" ht="14.25" customHeight="1">
      <c r="L673" s="71"/>
    </row>
    <row r="674" ht="14.25" customHeight="1">
      <c r="L674" s="71"/>
    </row>
    <row r="675" ht="14.25" customHeight="1">
      <c r="L675" s="71"/>
    </row>
    <row r="676" ht="14.25" customHeight="1">
      <c r="L676" s="71"/>
    </row>
    <row r="677" ht="14.25" customHeight="1">
      <c r="L677" s="71"/>
    </row>
    <row r="678" ht="14.25" customHeight="1">
      <c r="L678" s="71"/>
    </row>
    <row r="679" ht="14.25" customHeight="1">
      <c r="L679" s="71"/>
    </row>
    <row r="680" ht="14.25" customHeight="1">
      <c r="L680" s="71"/>
    </row>
    <row r="681" ht="14.25" customHeight="1">
      <c r="L681" s="71"/>
    </row>
    <row r="682" ht="14.25" customHeight="1">
      <c r="L682" s="71"/>
    </row>
    <row r="683" ht="14.25" customHeight="1">
      <c r="L683" s="71"/>
    </row>
    <row r="684" ht="14.25" customHeight="1">
      <c r="L684" s="71"/>
    </row>
    <row r="685" ht="14.25" customHeight="1">
      <c r="L685" s="71"/>
    </row>
    <row r="686" ht="14.25" customHeight="1">
      <c r="L686" s="71"/>
    </row>
    <row r="687" ht="14.25" customHeight="1">
      <c r="L687" s="71"/>
    </row>
    <row r="688" ht="14.25" customHeight="1">
      <c r="L688" s="71"/>
    </row>
    <row r="689" ht="14.25" customHeight="1">
      <c r="L689" s="71"/>
    </row>
    <row r="690" ht="14.25" customHeight="1">
      <c r="L690" s="71"/>
    </row>
    <row r="691" ht="14.25" customHeight="1">
      <c r="L691" s="71"/>
    </row>
    <row r="692" ht="14.25" customHeight="1">
      <c r="L692" s="71"/>
    </row>
    <row r="693" ht="14.25" customHeight="1">
      <c r="L693" s="71"/>
    </row>
    <row r="694" ht="14.25" customHeight="1">
      <c r="L694" s="71"/>
    </row>
    <row r="695" ht="14.25" customHeight="1">
      <c r="L695" s="71"/>
    </row>
    <row r="696" ht="14.25" customHeight="1">
      <c r="L696" s="71"/>
    </row>
    <row r="697" ht="14.25" customHeight="1">
      <c r="L697" s="71"/>
    </row>
    <row r="698" ht="14.25" customHeight="1">
      <c r="L698" s="71"/>
    </row>
    <row r="699" ht="14.25" customHeight="1">
      <c r="L699" s="71"/>
    </row>
    <row r="700" ht="14.25" customHeight="1">
      <c r="L700" s="71"/>
    </row>
    <row r="701" ht="14.25" customHeight="1">
      <c r="L701" s="71"/>
    </row>
    <row r="702" ht="14.25" customHeight="1">
      <c r="L702" s="71"/>
    </row>
    <row r="703" ht="14.25" customHeight="1">
      <c r="L703" s="71"/>
    </row>
    <row r="704" ht="14.25" customHeight="1">
      <c r="L704" s="71"/>
    </row>
    <row r="705" ht="14.25" customHeight="1">
      <c r="L705" s="71"/>
    </row>
    <row r="706" ht="14.25" customHeight="1">
      <c r="L706" s="71"/>
    </row>
    <row r="707" ht="14.25" customHeight="1">
      <c r="L707" s="71"/>
    </row>
    <row r="708" ht="14.25" customHeight="1">
      <c r="L708" s="71"/>
    </row>
    <row r="709" ht="14.25" customHeight="1">
      <c r="L709" s="71"/>
    </row>
    <row r="710" ht="14.25" customHeight="1">
      <c r="L710" s="71"/>
    </row>
    <row r="711" ht="14.25" customHeight="1">
      <c r="L711" s="71"/>
    </row>
    <row r="712" ht="14.25" customHeight="1">
      <c r="L712" s="71"/>
    </row>
    <row r="713" ht="14.25" customHeight="1">
      <c r="L713" s="71"/>
    </row>
    <row r="714" ht="14.25" customHeight="1">
      <c r="L714" s="71"/>
    </row>
    <row r="715" ht="14.25" customHeight="1">
      <c r="L715" s="71"/>
    </row>
    <row r="716" ht="14.25" customHeight="1">
      <c r="L716" s="71"/>
    </row>
    <row r="717" ht="14.25" customHeight="1">
      <c r="L717" s="71"/>
    </row>
    <row r="718" ht="14.25" customHeight="1">
      <c r="L718" s="71"/>
    </row>
    <row r="719" ht="14.25" customHeight="1">
      <c r="L719" s="71"/>
    </row>
    <row r="720" ht="14.25" customHeight="1">
      <c r="L720" s="71"/>
    </row>
    <row r="721" ht="14.25" customHeight="1">
      <c r="L721" s="71"/>
    </row>
    <row r="722" ht="14.25" customHeight="1">
      <c r="L722" s="71"/>
    </row>
    <row r="723" ht="14.25" customHeight="1">
      <c r="L723" s="71"/>
    </row>
    <row r="724" ht="14.25" customHeight="1">
      <c r="L724" s="71"/>
    </row>
    <row r="725" ht="14.25" customHeight="1">
      <c r="L725" s="71"/>
    </row>
    <row r="726" ht="14.25" customHeight="1">
      <c r="L726" s="71"/>
    </row>
    <row r="727" ht="14.25" customHeight="1">
      <c r="L727" s="71"/>
    </row>
    <row r="728" ht="14.25" customHeight="1">
      <c r="L728" s="71"/>
    </row>
    <row r="729" ht="14.25" customHeight="1">
      <c r="L729" s="71"/>
    </row>
    <row r="730" ht="14.25" customHeight="1">
      <c r="L730" s="71"/>
    </row>
    <row r="731" ht="14.25" customHeight="1">
      <c r="L731" s="71"/>
    </row>
    <row r="732" ht="14.25" customHeight="1">
      <c r="L732" s="71"/>
    </row>
    <row r="733" ht="14.25" customHeight="1">
      <c r="L733" s="71"/>
    </row>
    <row r="734" ht="14.25" customHeight="1">
      <c r="L734" s="71"/>
    </row>
    <row r="735" ht="14.25" customHeight="1">
      <c r="L735" s="71"/>
    </row>
    <row r="736" ht="14.25" customHeight="1">
      <c r="L736" s="71"/>
    </row>
    <row r="737" ht="14.25" customHeight="1">
      <c r="L737" s="71"/>
    </row>
    <row r="738" ht="14.25" customHeight="1">
      <c r="L738" s="71"/>
    </row>
    <row r="739" ht="14.25" customHeight="1">
      <c r="L739" s="71"/>
    </row>
    <row r="740" ht="14.25" customHeight="1">
      <c r="L740" s="71"/>
    </row>
    <row r="741" ht="14.25" customHeight="1">
      <c r="L741" s="71"/>
    </row>
    <row r="742" ht="14.25" customHeight="1">
      <c r="L742" s="71"/>
    </row>
    <row r="743" ht="14.25" customHeight="1">
      <c r="L743" s="71"/>
    </row>
    <row r="744" ht="14.25" customHeight="1">
      <c r="L744" s="71"/>
    </row>
    <row r="745" ht="14.25" customHeight="1">
      <c r="L745" s="71"/>
    </row>
    <row r="746" ht="14.25" customHeight="1">
      <c r="L746" s="71"/>
    </row>
    <row r="747" ht="14.25" customHeight="1">
      <c r="L747" s="71"/>
    </row>
    <row r="748" ht="14.25" customHeight="1">
      <c r="L748" s="71"/>
    </row>
    <row r="749" ht="14.25" customHeight="1">
      <c r="L749" s="71"/>
    </row>
    <row r="750" ht="14.25" customHeight="1">
      <c r="L750" s="71"/>
    </row>
    <row r="751" ht="14.25" customHeight="1">
      <c r="L751" s="71"/>
    </row>
    <row r="752" ht="14.25" customHeight="1">
      <c r="L752" s="71"/>
    </row>
    <row r="753" ht="14.25" customHeight="1">
      <c r="L753" s="71"/>
    </row>
    <row r="754" ht="14.25" customHeight="1">
      <c r="L754" s="71"/>
    </row>
    <row r="755" ht="14.25" customHeight="1">
      <c r="L755" s="71"/>
    </row>
    <row r="756" ht="14.25" customHeight="1">
      <c r="L756" s="71"/>
    </row>
    <row r="757" ht="14.25" customHeight="1">
      <c r="L757" s="71"/>
    </row>
    <row r="758" ht="14.25" customHeight="1">
      <c r="L758" s="71"/>
    </row>
    <row r="759" ht="14.25" customHeight="1">
      <c r="L759" s="71"/>
    </row>
    <row r="760" ht="14.25" customHeight="1">
      <c r="L760" s="71"/>
    </row>
    <row r="761" ht="14.25" customHeight="1">
      <c r="L761" s="71"/>
    </row>
    <row r="762" ht="14.25" customHeight="1">
      <c r="L762" s="71"/>
    </row>
    <row r="763" ht="14.25" customHeight="1">
      <c r="L763" s="71"/>
    </row>
    <row r="764" ht="14.25" customHeight="1">
      <c r="L764" s="71"/>
    </row>
    <row r="765" ht="14.25" customHeight="1">
      <c r="L765" s="71"/>
    </row>
    <row r="766" ht="14.25" customHeight="1">
      <c r="L766" s="71"/>
    </row>
    <row r="767" ht="14.25" customHeight="1">
      <c r="L767" s="71"/>
    </row>
    <row r="768" ht="14.25" customHeight="1">
      <c r="L768" s="71"/>
    </row>
    <row r="769" ht="14.25" customHeight="1">
      <c r="L769" s="71"/>
    </row>
    <row r="770" ht="14.25" customHeight="1">
      <c r="L770" s="71"/>
    </row>
    <row r="771" ht="14.25" customHeight="1">
      <c r="L771" s="71"/>
    </row>
    <row r="772" ht="14.25" customHeight="1">
      <c r="L772" s="71"/>
    </row>
    <row r="773" ht="14.25" customHeight="1">
      <c r="L773" s="71"/>
    </row>
    <row r="774" ht="14.25" customHeight="1">
      <c r="L774" s="71"/>
    </row>
    <row r="775" ht="14.25" customHeight="1">
      <c r="L775" s="71"/>
    </row>
    <row r="776" ht="14.25" customHeight="1">
      <c r="L776" s="71"/>
    </row>
    <row r="777" ht="14.25" customHeight="1">
      <c r="L777" s="71"/>
    </row>
    <row r="778" ht="14.25" customHeight="1">
      <c r="L778" s="71"/>
    </row>
    <row r="779" ht="14.25" customHeight="1">
      <c r="L779" s="71"/>
    </row>
    <row r="780" ht="14.25" customHeight="1">
      <c r="L780" s="71"/>
    </row>
    <row r="781" ht="14.25" customHeight="1">
      <c r="L781" s="71"/>
    </row>
    <row r="782" ht="14.25" customHeight="1">
      <c r="L782" s="71"/>
    </row>
    <row r="783" ht="14.25" customHeight="1">
      <c r="L783" s="71"/>
    </row>
    <row r="784" ht="14.25" customHeight="1">
      <c r="L784" s="71"/>
    </row>
    <row r="785" ht="14.25" customHeight="1">
      <c r="L785" s="71"/>
    </row>
    <row r="786" ht="14.25" customHeight="1">
      <c r="L786" s="71"/>
    </row>
    <row r="787" ht="14.25" customHeight="1">
      <c r="L787" s="71"/>
    </row>
    <row r="788" ht="14.25" customHeight="1">
      <c r="L788" s="71"/>
    </row>
    <row r="789" ht="14.25" customHeight="1">
      <c r="L789" s="71"/>
    </row>
    <row r="790" ht="14.25" customHeight="1">
      <c r="L790" s="71"/>
    </row>
    <row r="791" ht="14.25" customHeight="1">
      <c r="L791" s="71"/>
    </row>
    <row r="792" ht="14.25" customHeight="1">
      <c r="L792" s="71"/>
    </row>
    <row r="793" ht="14.25" customHeight="1">
      <c r="L793" s="71"/>
    </row>
    <row r="794" ht="14.25" customHeight="1">
      <c r="L794" s="71"/>
    </row>
    <row r="795" ht="14.25" customHeight="1">
      <c r="L795" s="71"/>
    </row>
    <row r="796" ht="14.25" customHeight="1">
      <c r="L796" s="71"/>
    </row>
    <row r="797" ht="14.25" customHeight="1">
      <c r="L797" s="71"/>
    </row>
    <row r="798" ht="14.25" customHeight="1">
      <c r="L798" s="71"/>
    </row>
    <row r="799" ht="14.25" customHeight="1">
      <c r="L799" s="71"/>
    </row>
    <row r="800" ht="14.25" customHeight="1">
      <c r="L800" s="71"/>
    </row>
    <row r="801" ht="14.25" customHeight="1">
      <c r="L801" s="71"/>
    </row>
    <row r="802" ht="14.25" customHeight="1">
      <c r="L802" s="71"/>
    </row>
    <row r="803" ht="14.25" customHeight="1">
      <c r="L803" s="71"/>
    </row>
    <row r="804" ht="14.25" customHeight="1">
      <c r="L804" s="71"/>
    </row>
    <row r="805" ht="14.25" customHeight="1">
      <c r="L805" s="71"/>
    </row>
    <row r="806" ht="14.25" customHeight="1">
      <c r="L806" s="71"/>
    </row>
    <row r="807" ht="14.25" customHeight="1">
      <c r="L807" s="71"/>
    </row>
    <row r="808" ht="14.25" customHeight="1">
      <c r="L808" s="71"/>
    </row>
    <row r="809" ht="14.25" customHeight="1">
      <c r="L809" s="71"/>
    </row>
    <row r="810" ht="14.25" customHeight="1">
      <c r="L810" s="71"/>
    </row>
    <row r="811" ht="14.25" customHeight="1">
      <c r="L811" s="71"/>
    </row>
    <row r="812" ht="14.25" customHeight="1">
      <c r="L812" s="71"/>
    </row>
    <row r="813" ht="14.25" customHeight="1">
      <c r="L813" s="71"/>
    </row>
    <row r="814" ht="14.25" customHeight="1">
      <c r="L814" s="71"/>
    </row>
    <row r="815" ht="14.25" customHeight="1">
      <c r="L815" s="71"/>
    </row>
    <row r="816" ht="14.25" customHeight="1">
      <c r="L816" s="71"/>
    </row>
    <row r="817" ht="14.25" customHeight="1">
      <c r="L817" s="71"/>
    </row>
    <row r="818" ht="14.25" customHeight="1">
      <c r="L818" s="71"/>
    </row>
    <row r="819" ht="14.25" customHeight="1">
      <c r="L819" s="71"/>
    </row>
    <row r="820" ht="14.25" customHeight="1">
      <c r="L820" s="71"/>
    </row>
    <row r="821" ht="14.25" customHeight="1">
      <c r="L821" s="71"/>
    </row>
    <row r="822" ht="14.25" customHeight="1">
      <c r="L822" s="71"/>
    </row>
    <row r="823" ht="14.25" customHeight="1">
      <c r="L823" s="71"/>
    </row>
    <row r="824" ht="14.25" customHeight="1">
      <c r="L824" s="71"/>
    </row>
    <row r="825" ht="14.25" customHeight="1">
      <c r="L825" s="71"/>
    </row>
    <row r="826" ht="14.25" customHeight="1">
      <c r="L826" s="71"/>
    </row>
    <row r="827" ht="14.25" customHeight="1">
      <c r="L827" s="71"/>
    </row>
    <row r="828" ht="14.25" customHeight="1">
      <c r="L828" s="71"/>
    </row>
    <row r="829" ht="14.25" customHeight="1">
      <c r="L829" s="71"/>
    </row>
    <row r="830" ht="14.25" customHeight="1">
      <c r="L830" s="71"/>
    </row>
    <row r="831" ht="14.25" customHeight="1">
      <c r="L831" s="71"/>
    </row>
    <row r="832" ht="14.25" customHeight="1">
      <c r="L832" s="71"/>
    </row>
    <row r="833" ht="14.25" customHeight="1">
      <c r="L833" s="71"/>
    </row>
    <row r="834" ht="14.25" customHeight="1">
      <c r="L834" s="71"/>
    </row>
    <row r="835" ht="14.25" customHeight="1">
      <c r="L835" s="71"/>
    </row>
    <row r="836" ht="14.25" customHeight="1">
      <c r="L836" s="71"/>
    </row>
    <row r="837" ht="14.25" customHeight="1">
      <c r="L837" s="71"/>
    </row>
    <row r="838" ht="14.25" customHeight="1">
      <c r="L838" s="71"/>
    </row>
    <row r="839" ht="14.25" customHeight="1">
      <c r="L839" s="71"/>
    </row>
    <row r="840" ht="14.25" customHeight="1">
      <c r="L840" s="71"/>
    </row>
    <row r="841" ht="14.25" customHeight="1">
      <c r="L841" s="71"/>
    </row>
    <row r="842" ht="14.25" customHeight="1">
      <c r="L842" s="71"/>
    </row>
    <row r="843" ht="14.25" customHeight="1">
      <c r="L843" s="71"/>
    </row>
    <row r="844" ht="14.25" customHeight="1">
      <c r="L844" s="71"/>
    </row>
    <row r="845" ht="14.25" customHeight="1">
      <c r="L845" s="71"/>
    </row>
    <row r="846" ht="14.25" customHeight="1">
      <c r="L846" s="71"/>
    </row>
    <row r="847" ht="14.25" customHeight="1">
      <c r="L847" s="71"/>
    </row>
    <row r="848" ht="14.25" customHeight="1">
      <c r="L848" s="71"/>
    </row>
    <row r="849" ht="14.25" customHeight="1">
      <c r="L849" s="71"/>
    </row>
    <row r="850" ht="14.25" customHeight="1">
      <c r="L850" s="71"/>
    </row>
    <row r="851" ht="14.25" customHeight="1">
      <c r="L851" s="71"/>
    </row>
    <row r="852" ht="14.25" customHeight="1">
      <c r="L852" s="71"/>
    </row>
    <row r="853" ht="14.25" customHeight="1">
      <c r="L853" s="71"/>
    </row>
    <row r="854" ht="14.25" customHeight="1">
      <c r="L854" s="71"/>
    </row>
    <row r="855" ht="14.25" customHeight="1">
      <c r="L855" s="71"/>
    </row>
    <row r="856" ht="14.25" customHeight="1">
      <c r="L856" s="71"/>
    </row>
    <row r="857" ht="14.25" customHeight="1">
      <c r="L857" s="71"/>
    </row>
    <row r="858" ht="14.25" customHeight="1">
      <c r="L858" s="71"/>
    </row>
    <row r="859" ht="14.25" customHeight="1">
      <c r="L859" s="71"/>
    </row>
    <row r="860" ht="14.25" customHeight="1">
      <c r="L860" s="71"/>
    </row>
    <row r="861" ht="14.25" customHeight="1">
      <c r="L861" s="71"/>
    </row>
    <row r="862" ht="14.25" customHeight="1">
      <c r="L862" s="71"/>
    </row>
    <row r="863" ht="14.25" customHeight="1">
      <c r="L863" s="71"/>
    </row>
    <row r="864" ht="14.25" customHeight="1">
      <c r="L864" s="71"/>
    </row>
    <row r="865" ht="14.25" customHeight="1">
      <c r="L865" s="71"/>
    </row>
    <row r="866" ht="14.25" customHeight="1">
      <c r="L866" s="71"/>
    </row>
    <row r="867" ht="14.25" customHeight="1">
      <c r="L867" s="71"/>
    </row>
    <row r="868" ht="14.25" customHeight="1">
      <c r="L868" s="71"/>
    </row>
    <row r="869" ht="14.25" customHeight="1">
      <c r="L869" s="71"/>
    </row>
    <row r="870" ht="14.25" customHeight="1">
      <c r="L870" s="71"/>
    </row>
    <row r="871" ht="14.25" customHeight="1">
      <c r="L871" s="71"/>
    </row>
    <row r="872" ht="14.25" customHeight="1">
      <c r="L872" s="71"/>
    </row>
    <row r="873" ht="14.25" customHeight="1">
      <c r="L873" s="71"/>
    </row>
    <row r="874" ht="14.25" customHeight="1">
      <c r="L874" s="71"/>
    </row>
    <row r="875" ht="14.25" customHeight="1">
      <c r="L875" s="71"/>
    </row>
    <row r="876" ht="14.25" customHeight="1">
      <c r="L876" s="71"/>
    </row>
    <row r="877" ht="14.25" customHeight="1">
      <c r="L877" s="71"/>
    </row>
    <row r="878" ht="14.25" customHeight="1">
      <c r="L878" s="71"/>
    </row>
    <row r="879" ht="14.25" customHeight="1">
      <c r="L879" s="71"/>
    </row>
    <row r="880" ht="14.25" customHeight="1">
      <c r="L880" s="71"/>
    </row>
    <row r="881" ht="14.25" customHeight="1">
      <c r="L881" s="71"/>
    </row>
    <row r="882" ht="14.25" customHeight="1">
      <c r="L882" s="71"/>
    </row>
    <row r="883" ht="14.25" customHeight="1">
      <c r="L883" s="71"/>
    </row>
    <row r="884" ht="14.25" customHeight="1">
      <c r="L884" s="71"/>
    </row>
    <row r="885" ht="14.25" customHeight="1">
      <c r="L885" s="71"/>
    </row>
    <row r="886" ht="14.25" customHeight="1">
      <c r="L886" s="71"/>
    </row>
    <row r="887" ht="14.25" customHeight="1">
      <c r="L887" s="71"/>
    </row>
    <row r="888" ht="14.25" customHeight="1">
      <c r="L888" s="71"/>
    </row>
    <row r="889" ht="14.25" customHeight="1">
      <c r="L889" s="71"/>
    </row>
    <row r="890" ht="14.25" customHeight="1">
      <c r="L890" s="71"/>
    </row>
    <row r="891" ht="14.25" customHeight="1">
      <c r="L891" s="71"/>
    </row>
    <row r="892" ht="14.25" customHeight="1">
      <c r="L892" s="71"/>
    </row>
    <row r="893" ht="14.25" customHeight="1">
      <c r="L893" s="71"/>
    </row>
    <row r="894" ht="14.25" customHeight="1">
      <c r="L894" s="71"/>
    </row>
    <row r="895" ht="14.25" customHeight="1">
      <c r="L895" s="71"/>
    </row>
    <row r="896" ht="14.25" customHeight="1">
      <c r="L896" s="71"/>
    </row>
    <row r="897" ht="14.25" customHeight="1">
      <c r="L897" s="71"/>
    </row>
    <row r="898" ht="14.25" customHeight="1">
      <c r="L898" s="71"/>
    </row>
    <row r="899" ht="14.25" customHeight="1">
      <c r="L899" s="71"/>
    </row>
    <row r="900" ht="14.25" customHeight="1">
      <c r="L900" s="71"/>
    </row>
    <row r="901" ht="14.25" customHeight="1">
      <c r="L901" s="71"/>
    </row>
    <row r="902" ht="14.25" customHeight="1">
      <c r="L902" s="71"/>
    </row>
    <row r="903" ht="14.25" customHeight="1">
      <c r="L903" s="71"/>
    </row>
    <row r="904" ht="14.25" customHeight="1">
      <c r="L904" s="71"/>
    </row>
    <row r="905" ht="14.25" customHeight="1">
      <c r="L905" s="71"/>
    </row>
    <row r="906" ht="14.25" customHeight="1">
      <c r="L906" s="71"/>
    </row>
    <row r="907" ht="14.25" customHeight="1">
      <c r="L907" s="71"/>
    </row>
    <row r="908" ht="14.25" customHeight="1">
      <c r="L908" s="71"/>
    </row>
    <row r="909" ht="14.25" customHeight="1">
      <c r="L909" s="71"/>
    </row>
    <row r="910" ht="14.25" customHeight="1">
      <c r="L910" s="71"/>
    </row>
    <row r="911" ht="14.25" customHeight="1">
      <c r="L911" s="71"/>
    </row>
    <row r="912" ht="14.25" customHeight="1">
      <c r="L912" s="71"/>
    </row>
    <row r="913" ht="14.25" customHeight="1">
      <c r="L913" s="71"/>
    </row>
    <row r="914" ht="14.25" customHeight="1">
      <c r="L914" s="71"/>
    </row>
    <row r="915" ht="14.25" customHeight="1">
      <c r="L915" s="71"/>
    </row>
    <row r="916" ht="14.25" customHeight="1">
      <c r="L916" s="71"/>
    </row>
    <row r="917" ht="14.25" customHeight="1">
      <c r="L917" s="71"/>
    </row>
    <row r="918" ht="14.25" customHeight="1">
      <c r="L918" s="71"/>
    </row>
    <row r="919" ht="14.25" customHeight="1">
      <c r="L919" s="71"/>
    </row>
    <row r="920" ht="14.25" customHeight="1">
      <c r="L920" s="71"/>
    </row>
    <row r="921" ht="14.25" customHeight="1">
      <c r="L921" s="71"/>
    </row>
    <row r="922" ht="14.25" customHeight="1">
      <c r="L922" s="71"/>
    </row>
    <row r="923" ht="14.25" customHeight="1">
      <c r="L923" s="71"/>
    </row>
    <row r="924" ht="14.25" customHeight="1">
      <c r="L924" s="71"/>
    </row>
    <row r="925" ht="14.25" customHeight="1">
      <c r="L925" s="71"/>
    </row>
    <row r="926" ht="14.25" customHeight="1">
      <c r="L926" s="71"/>
    </row>
    <row r="927" ht="14.25" customHeight="1">
      <c r="L927" s="71"/>
    </row>
    <row r="928" ht="14.25" customHeight="1">
      <c r="L928" s="71"/>
    </row>
    <row r="929" ht="14.25" customHeight="1">
      <c r="L929" s="71"/>
    </row>
    <row r="930" ht="14.25" customHeight="1">
      <c r="L930" s="71"/>
    </row>
    <row r="931" ht="14.25" customHeight="1">
      <c r="L931" s="71"/>
    </row>
    <row r="932" ht="14.25" customHeight="1">
      <c r="L932" s="71"/>
    </row>
    <row r="933" ht="14.25" customHeight="1">
      <c r="L933" s="71"/>
    </row>
    <row r="934" ht="14.25" customHeight="1">
      <c r="L934" s="71"/>
    </row>
    <row r="935" ht="14.25" customHeight="1">
      <c r="L935" s="71"/>
    </row>
    <row r="936" ht="14.25" customHeight="1">
      <c r="L936" s="71"/>
    </row>
    <row r="937" ht="14.25" customHeight="1">
      <c r="L937" s="71"/>
    </row>
    <row r="938" ht="14.25" customHeight="1">
      <c r="L938" s="71"/>
    </row>
    <row r="939" ht="14.25" customHeight="1">
      <c r="L939" s="71"/>
    </row>
    <row r="940" ht="14.25" customHeight="1">
      <c r="L940" s="71"/>
    </row>
    <row r="941" ht="14.25" customHeight="1">
      <c r="L941" s="71"/>
    </row>
    <row r="942" ht="14.25" customHeight="1">
      <c r="L942" s="71"/>
    </row>
    <row r="943" ht="14.25" customHeight="1">
      <c r="L943" s="71"/>
    </row>
    <row r="944" ht="14.25" customHeight="1">
      <c r="L944" s="71"/>
    </row>
    <row r="945" ht="14.25" customHeight="1">
      <c r="L945" s="71"/>
    </row>
    <row r="946" ht="14.25" customHeight="1">
      <c r="L946" s="71"/>
    </row>
    <row r="947" ht="14.25" customHeight="1">
      <c r="L947" s="71"/>
    </row>
    <row r="948" ht="14.25" customHeight="1">
      <c r="L948" s="71"/>
    </row>
    <row r="949" ht="14.25" customHeight="1">
      <c r="L949" s="71"/>
    </row>
    <row r="950" ht="14.25" customHeight="1">
      <c r="L950" s="71"/>
    </row>
    <row r="951" ht="14.25" customHeight="1">
      <c r="L951" s="71"/>
    </row>
    <row r="952" ht="14.25" customHeight="1">
      <c r="L952" s="71"/>
    </row>
    <row r="953" ht="14.25" customHeight="1">
      <c r="L953" s="71"/>
    </row>
    <row r="954" ht="14.25" customHeight="1">
      <c r="L954" s="71"/>
    </row>
    <row r="955" ht="14.25" customHeight="1">
      <c r="L955" s="71"/>
    </row>
    <row r="956" ht="14.25" customHeight="1">
      <c r="L956" s="71"/>
    </row>
    <row r="957" ht="14.25" customHeight="1">
      <c r="L957" s="71"/>
    </row>
    <row r="958" ht="14.25" customHeight="1">
      <c r="L958" s="71"/>
    </row>
    <row r="959" ht="14.25" customHeight="1">
      <c r="L959" s="71"/>
    </row>
    <row r="960" ht="14.25" customHeight="1">
      <c r="L960" s="71"/>
    </row>
    <row r="961" ht="14.25" customHeight="1">
      <c r="L961" s="71"/>
    </row>
    <row r="962" ht="14.25" customHeight="1">
      <c r="L962" s="71"/>
    </row>
    <row r="963" ht="14.25" customHeight="1">
      <c r="L963" s="71"/>
    </row>
    <row r="964" ht="14.25" customHeight="1">
      <c r="L964" s="71"/>
    </row>
    <row r="965" ht="14.25" customHeight="1">
      <c r="L965" s="71"/>
    </row>
    <row r="966" ht="14.25" customHeight="1">
      <c r="L966" s="71"/>
    </row>
    <row r="967" ht="14.25" customHeight="1">
      <c r="L967" s="71"/>
    </row>
    <row r="968" ht="14.25" customHeight="1">
      <c r="L968" s="71"/>
    </row>
    <row r="969" ht="14.25" customHeight="1">
      <c r="L969" s="71"/>
    </row>
    <row r="970" ht="14.25" customHeight="1">
      <c r="L970" s="71"/>
    </row>
    <row r="971" ht="14.25" customHeight="1">
      <c r="L971" s="71"/>
    </row>
    <row r="972" ht="14.25" customHeight="1">
      <c r="L972" s="71"/>
    </row>
    <row r="973" ht="14.25" customHeight="1">
      <c r="L973" s="71"/>
    </row>
    <row r="974" ht="14.25" customHeight="1">
      <c r="L974" s="71"/>
    </row>
    <row r="975" ht="14.25" customHeight="1">
      <c r="L975" s="71"/>
    </row>
    <row r="976" ht="14.25" customHeight="1">
      <c r="L976" s="71"/>
    </row>
    <row r="977" ht="14.25" customHeight="1">
      <c r="L977" s="71"/>
    </row>
    <row r="978" ht="14.25" customHeight="1">
      <c r="L978" s="71"/>
    </row>
    <row r="979" ht="14.25" customHeight="1">
      <c r="L979" s="71"/>
    </row>
    <row r="980" ht="14.25" customHeight="1">
      <c r="L980" s="71"/>
    </row>
    <row r="981" ht="14.25" customHeight="1">
      <c r="L981" s="71"/>
    </row>
    <row r="982" ht="14.25" customHeight="1">
      <c r="L982" s="71"/>
    </row>
    <row r="983" ht="14.25" customHeight="1">
      <c r="L983" s="71"/>
    </row>
    <row r="984" ht="14.25" customHeight="1">
      <c r="L984" s="71"/>
    </row>
    <row r="985" ht="14.25" customHeight="1">
      <c r="L985" s="71"/>
    </row>
    <row r="986" ht="14.25" customHeight="1">
      <c r="L986" s="71"/>
    </row>
    <row r="987" ht="14.25" customHeight="1">
      <c r="L987" s="71"/>
    </row>
    <row r="988" ht="14.25" customHeight="1">
      <c r="L988" s="71"/>
    </row>
    <row r="989" ht="14.25" customHeight="1">
      <c r="L989" s="71"/>
    </row>
    <row r="990" ht="14.25" customHeight="1">
      <c r="L990" s="71"/>
    </row>
    <row r="991" ht="14.25" customHeight="1">
      <c r="L991" s="71"/>
    </row>
    <row r="992" ht="14.25" customHeight="1">
      <c r="L992" s="71"/>
    </row>
    <row r="993" ht="14.25" customHeight="1">
      <c r="L993" s="71"/>
    </row>
    <row r="994" ht="14.25" customHeight="1">
      <c r="L994" s="71"/>
    </row>
    <row r="995" ht="14.25" customHeight="1">
      <c r="L995" s="71"/>
    </row>
    <row r="996" ht="14.25" customHeight="1">
      <c r="L996" s="71"/>
    </row>
    <row r="997" ht="14.25" customHeight="1">
      <c r="L997" s="71"/>
    </row>
    <row r="998" ht="14.25" customHeight="1">
      <c r="L998" s="71"/>
    </row>
    <row r="999" ht="14.25" customHeight="1">
      <c r="L999" s="71"/>
    </row>
    <row r="1000" ht="14.25" customHeight="1">
      <c r="L1000" s="71"/>
    </row>
  </sheetData>
  <mergeCells count="3">
    <mergeCell ref="J4:K4"/>
    <mergeCell ref="J5:K5"/>
    <mergeCell ref="J6:K6"/>
  </mergeCells>
  <conditionalFormatting sqref="J23:J25">
    <cfRule type="cellIs" dxfId="0" priority="1" operator="notBetween">
      <formula>#REF!</formula>
      <formula>#REF!</formula>
    </cfRule>
  </conditionalFormatting>
  <conditionalFormatting sqref="J27:J28">
    <cfRule type="cellIs" dxfId="0" priority="2" operator="notBetween">
      <formula>#REF!</formula>
      <formula>#REF!</formula>
    </cfRule>
  </conditionalFormatting>
  <conditionalFormatting sqref="J30">
    <cfRule type="cellIs" dxfId="0" priority="3" operator="notBetween">
      <formula>#REF!</formula>
      <formula>#REF!</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5.5"/>
    <col customWidth="1" min="3" max="4" width="10.63"/>
    <col customWidth="1" min="5" max="5" width="12.5"/>
    <col customWidth="1" min="6" max="6" width="61.5"/>
    <col customWidth="1" min="7" max="7" width="22.88"/>
    <col customWidth="1" min="8" max="8" width="13.0"/>
    <col customWidth="1" min="9" max="9" width="14.88"/>
    <col customWidth="1" min="10" max="10" width="14.5"/>
    <col customWidth="1" min="11" max="11" width="13.88"/>
    <col customWidth="1" min="12" max="12" width="14.88"/>
    <col customWidth="1" min="13" max="26" width="10.63"/>
  </cols>
  <sheetData>
    <row r="1" ht="14.25" customHeight="1">
      <c r="L1" s="71"/>
    </row>
    <row r="2" ht="14.25" customHeight="1">
      <c r="F2" s="72" t="s">
        <v>311</v>
      </c>
      <c r="L2" s="71"/>
    </row>
    <row r="3" ht="14.25" customHeight="1">
      <c r="L3" s="71"/>
    </row>
    <row r="4" ht="14.25" customHeight="1">
      <c r="G4" s="7" t="s">
        <v>312</v>
      </c>
      <c r="H4" s="73">
        <v>100000.0</v>
      </c>
      <c r="J4" s="166" t="s">
        <v>313</v>
      </c>
      <c r="K4" s="167"/>
      <c r="L4" s="71"/>
    </row>
    <row r="5" ht="14.25" customHeight="1">
      <c r="G5" s="7" t="s">
        <v>314</v>
      </c>
      <c r="H5" s="73">
        <v>0.0</v>
      </c>
      <c r="J5" s="166" t="s">
        <v>315</v>
      </c>
      <c r="K5" s="167"/>
      <c r="L5" s="71"/>
    </row>
    <row r="6" ht="14.25" customHeight="1">
      <c r="B6" s="7" t="s">
        <v>316</v>
      </c>
      <c r="C6" s="76">
        <v>10.0</v>
      </c>
      <c r="G6" s="77" t="s">
        <v>317</v>
      </c>
      <c r="H6" s="78">
        <f>+H4+H5</f>
        <v>100000</v>
      </c>
      <c r="I6" s="28"/>
      <c r="J6" s="166" t="s">
        <v>318</v>
      </c>
      <c r="K6" s="167"/>
      <c r="L6" s="71"/>
    </row>
    <row r="7" ht="14.25" customHeight="1">
      <c r="B7" s="7"/>
      <c r="C7" s="7"/>
      <c r="G7" s="7"/>
      <c r="H7" s="7"/>
      <c r="L7" s="71"/>
    </row>
    <row r="8" ht="14.25" customHeight="1">
      <c r="L8" s="71"/>
    </row>
    <row r="9" ht="14.25" customHeight="1">
      <c r="B9" s="7" t="s">
        <v>319</v>
      </c>
      <c r="C9" s="7" t="s">
        <v>320</v>
      </c>
      <c r="G9" s="79" t="s">
        <v>85</v>
      </c>
      <c r="H9" s="80">
        <f>+I9*$H$6</f>
        <v>80000</v>
      </c>
      <c r="I9" s="81">
        <f>+C11</f>
        <v>0.8</v>
      </c>
      <c r="L9" s="71"/>
    </row>
    <row r="10" ht="14.25" customHeight="1">
      <c r="H10" s="82"/>
      <c r="L10" s="71"/>
    </row>
    <row r="11" ht="14.25" customHeight="1">
      <c r="B11" s="188" t="s">
        <v>85</v>
      </c>
      <c r="C11" s="189">
        <f>+LOOKUP($C$6,'Pesos Cartera K Sectorial'!C10:L10,'Pesos Cartera K Sectorial'!C24:L24)</f>
        <v>0.8</v>
      </c>
      <c r="F11" s="7"/>
      <c r="G11" s="24" t="s">
        <v>321</v>
      </c>
      <c r="H11" s="85" t="s">
        <v>322</v>
      </c>
      <c r="I11" s="24" t="s">
        <v>323</v>
      </c>
      <c r="J11" s="24" t="s">
        <v>324</v>
      </c>
      <c r="K11" s="24" t="s">
        <v>325</v>
      </c>
      <c r="L11" s="86" t="s">
        <v>326</v>
      </c>
    </row>
    <row r="12" ht="14.25" customHeight="1">
      <c r="B12" s="190" t="s">
        <v>346</v>
      </c>
      <c r="C12" s="191">
        <f>+LOOKUP($C$6,'Pesos Cartera K Sectorial v2'!$C$10:$L$10,'Pesos Cartera K Sectorial v2'!$C$41:$L$41)</f>
        <v>0.1</v>
      </c>
      <c r="F12" s="190" t="s">
        <v>194</v>
      </c>
      <c r="G12" s="29" t="s">
        <v>346</v>
      </c>
      <c r="H12" s="192">
        <v>10000.0</v>
      </c>
      <c r="I12" s="171">
        <f t="shared" ref="I12:I17" si="1">+C12</f>
        <v>0.1</v>
      </c>
      <c r="J12" s="180">
        <f t="shared" ref="J12:J17" si="2">+H12/$H$6</f>
        <v>0.1</v>
      </c>
      <c r="K12" s="193">
        <f t="shared" ref="K12:K17" si="3">+I12*$H$6</f>
        <v>10000</v>
      </c>
      <c r="L12" s="193">
        <f t="shared" ref="L12:L17" si="4">+K12-H12</f>
        <v>0</v>
      </c>
    </row>
    <row r="13" ht="14.25" customHeight="1">
      <c r="B13" s="194" t="s">
        <v>351</v>
      </c>
      <c r="C13" s="195">
        <f>+LOOKUP($C$6,'Pesos Cartera K Sectorial v2'!$C$10:$L$10,'Pesos Cartera K Sectorial v2'!$C$42:$L$42)</f>
        <v>0.1</v>
      </c>
      <c r="F13" s="196" t="s">
        <v>220</v>
      </c>
      <c r="G13" s="196" t="s">
        <v>351</v>
      </c>
      <c r="H13" s="197">
        <v>10000.0</v>
      </c>
      <c r="I13" s="198">
        <f t="shared" si="1"/>
        <v>0.1</v>
      </c>
      <c r="J13" s="199">
        <f t="shared" si="2"/>
        <v>0.1</v>
      </c>
      <c r="K13" s="200">
        <f t="shared" si="3"/>
        <v>10000</v>
      </c>
      <c r="L13" s="200">
        <f t="shared" si="4"/>
        <v>0</v>
      </c>
    </row>
    <row r="14" ht="14.25" customHeight="1">
      <c r="B14" s="201" t="s">
        <v>347</v>
      </c>
      <c r="C14" s="191">
        <f>+LOOKUP($C$6,'Pesos Cartera K Sectorial v2'!$C$10:$L$10,'Pesos Cartera K Sectorial v2'!$C$43:$L$43)</f>
        <v>0.2</v>
      </c>
      <c r="F14" s="190" t="s">
        <v>199</v>
      </c>
      <c r="G14" s="190" t="s">
        <v>347</v>
      </c>
      <c r="H14" s="175">
        <v>20000.0</v>
      </c>
      <c r="I14" s="202">
        <f t="shared" si="1"/>
        <v>0.2</v>
      </c>
      <c r="J14" s="203">
        <f t="shared" si="2"/>
        <v>0.2</v>
      </c>
      <c r="K14" s="204">
        <f t="shared" si="3"/>
        <v>20000</v>
      </c>
      <c r="L14" s="204">
        <f t="shared" si="4"/>
        <v>0</v>
      </c>
    </row>
    <row r="15" ht="14.25" customHeight="1">
      <c r="B15" s="205" t="s">
        <v>348</v>
      </c>
      <c r="C15" s="195">
        <f>+LOOKUP($C$6,'Pesos Cartera K Sectorial v2'!$C$10:$L$10,'Pesos Cartera K Sectorial v2'!$C$44:$L$44)</f>
        <v>0.2</v>
      </c>
      <c r="F15" s="196" t="s">
        <v>207</v>
      </c>
      <c r="G15" s="196" t="s">
        <v>348</v>
      </c>
      <c r="H15" s="175">
        <v>20000.0</v>
      </c>
      <c r="I15" s="198">
        <f t="shared" si="1"/>
        <v>0.2</v>
      </c>
      <c r="J15" s="199">
        <f t="shared" si="2"/>
        <v>0.2</v>
      </c>
      <c r="K15" s="200">
        <f t="shared" si="3"/>
        <v>20000</v>
      </c>
      <c r="L15" s="200">
        <f t="shared" si="4"/>
        <v>0</v>
      </c>
    </row>
    <row r="16" ht="14.25" customHeight="1">
      <c r="B16" s="201" t="s">
        <v>349</v>
      </c>
      <c r="C16" s="191">
        <f>+LOOKUP($C$6,'Pesos Cartera K Sectorial v2'!$C$10:$L$10,'Pesos Cartera K Sectorial v2'!$C$45:$L$45)</f>
        <v>0.1</v>
      </c>
      <c r="F16" s="190" t="s">
        <v>211</v>
      </c>
      <c r="G16" s="190" t="s">
        <v>349</v>
      </c>
      <c r="H16" s="170">
        <v>10000.0</v>
      </c>
      <c r="I16" s="202">
        <f t="shared" si="1"/>
        <v>0.1</v>
      </c>
      <c r="J16" s="203">
        <f t="shared" si="2"/>
        <v>0.1</v>
      </c>
      <c r="K16" s="204">
        <f t="shared" si="3"/>
        <v>10000</v>
      </c>
      <c r="L16" s="204">
        <f t="shared" si="4"/>
        <v>0</v>
      </c>
    </row>
    <row r="17" ht="14.25" customHeight="1">
      <c r="B17" s="206" t="s">
        <v>350</v>
      </c>
      <c r="C17" s="207">
        <f>+LOOKUP($C$6,'Pesos Cartera K Sectorial v2'!$C$10:$L$10,'Pesos Cartera K Sectorial v2'!$C$46:$L$46)</f>
        <v>0.1</v>
      </c>
      <c r="F17" s="196" t="s">
        <v>215</v>
      </c>
      <c r="G17" s="196" t="s">
        <v>350</v>
      </c>
      <c r="H17" s="94">
        <v>10000.0</v>
      </c>
      <c r="I17" s="198">
        <f t="shared" si="1"/>
        <v>0.1</v>
      </c>
      <c r="J17" s="199">
        <f t="shared" si="2"/>
        <v>0.1</v>
      </c>
      <c r="K17" s="200">
        <f t="shared" si="3"/>
        <v>10000</v>
      </c>
      <c r="L17" s="200">
        <f t="shared" si="4"/>
        <v>0</v>
      </c>
    </row>
    <row r="18" ht="14.25" customHeight="1">
      <c r="F18" s="96" t="s">
        <v>329</v>
      </c>
      <c r="G18" s="97"/>
      <c r="H18" s="181">
        <f t="shared" ref="H18:L18" si="5">SUM(H12:H17)</f>
        <v>80000</v>
      </c>
      <c r="I18" s="99">
        <f t="shared" si="5"/>
        <v>0.8</v>
      </c>
      <c r="J18" s="99">
        <f t="shared" si="5"/>
        <v>0.8</v>
      </c>
      <c r="K18" s="182">
        <f t="shared" si="5"/>
        <v>80000</v>
      </c>
      <c r="L18" s="183">
        <f t="shared" si="5"/>
        <v>0</v>
      </c>
    </row>
    <row r="19" ht="14.25" customHeight="1">
      <c r="H19" s="82"/>
      <c r="K19" s="12" t="s">
        <v>330</v>
      </c>
      <c r="L19" s="71"/>
    </row>
    <row r="20" ht="14.25" customHeight="1">
      <c r="B20" s="101" t="s">
        <v>331</v>
      </c>
      <c r="C20" s="102">
        <f>+LOOKUP($C$6,'Pesos Cartera K Sectorial'!$C$10:$L$10,'Pesos Cartera K Sectorial'!C25:L25)</f>
        <v>0</v>
      </c>
      <c r="F20" s="184"/>
      <c r="G20" s="40" t="s">
        <v>331</v>
      </c>
      <c r="H20" s="103">
        <f>+I20*$H$6</f>
        <v>0</v>
      </c>
      <c r="I20" s="104">
        <f>+C20</f>
        <v>0</v>
      </c>
    </row>
    <row r="21" ht="14.25" customHeight="1">
      <c r="L21" s="71"/>
    </row>
    <row r="22" ht="14.25" customHeight="1">
      <c r="F22" s="7"/>
      <c r="G22" s="24" t="s">
        <v>332</v>
      </c>
      <c r="H22" s="105" t="s">
        <v>322</v>
      </c>
      <c r="I22" s="24" t="s">
        <v>323</v>
      </c>
      <c r="J22" s="24" t="s">
        <v>324</v>
      </c>
      <c r="K22" s="24" t="s">
        <v>325</v>
      </c>
      <c r="L22" s="86" t="s">
        <v>326</v>
      </c>
    </row>
    <row r="23" ht="14.25" customHeight="1">
      <c r="B23" s="106" t="s">
        <v>333</v>
      </c>
      <c r="C23" s="107">
        <f>+LOOKUP($C$6,'Pesos Cartera K Sectorial'!$C$10:$L$10,'Pesos Cartera K Sectorial'!C53:L53)</f>
        <v>0</v>
      </c>
      <c r="E23" s="106" t="s">
        <v>334</v>
      </c>
      <c r="F23" s="106"/>
      <c r="G23" s="106" t="s">
        <v>333</v>
      </c>
      <c r="H23" s="108">
        <f t="shared" ref="H23:J23" si="6">SUM(H24:H26)</f>
        <v>0</v>
      </c>
      <c r="I23" s="109">
        <f t="shared" si="6"/>
        <v>0</v>
      </c>
      <c r="J23" s="109">
        <f t="shared" si="6"/>
        <v>0</v>
      </c>
      <c r="K23" s="106">
        <f t="shared" ref="K23:K26" si="7">+I23*$H$6</f>
        <v>0</v>
      </c>
      <c r="L23" s="108">
        <f t="shared" ref="L23:L26" si="8">+K23-H23</f>
        <v>0</v>
      </c>
    </row>
    <row r="24" ht="14.25" customHeight="1">
      <c r="B24" s="110" t="s">
        <v>130</v>
      </c>
      <c r="C24" s="111">
        <v>0.0</v>
      </c>
      <c r="E24" s="112">
        <v>10.25</v>
      </c>
      <c r="F24" s="113" t="s">
        <v>237</v>
      </c>
      <c r="G24" s="113" t="s">
        <v>130</v>
      </c>
      <c r="H24" s="114"/>
      <c r="I24" s="115">
        <f t="shared" ref="I24:I26" si="9">+C24</f>
        <v>0</v>
      </c>
      <c r="J24" s="115">
        <f t="shared" ref="J24:J26" si="10">+H24/$H$6</f>
        <v>0</v>
      </c>
      <c r="K24" s="116">
        <f t="shared" si="7"/>
        <v>0</v>
      </c>
      <c r="L24" s="116">
        <f t="shared" si="8"/>
        <v>0</v>
      </c>
    </row>
    <row r="25" ht="14.25" customHeight="1">
      <c r="B25" s="117" t="s">
        <v>134</v>
      </c>
      <c r="C25" s="118">
        <v>0.0</v>
      </c>
      <c r="E25" s="119">
        <v>6.84</v>
      </c>
      <c r="F25" s="120" t="s">
        <v>229</v>
      </c>
      <c r="G25" s="120" t="s">
        <v>134</v>
      </c>
      <c r="H25" s="185">
        <v>0.0</v>
      </c>
      <c r="I25" s="121">
        <f t="shared" si="9"/>
        <v>0</v>
      </c>
      <c r="J25" s="121">
        <f t="shared" si="10"/>
        <v>0</v>
      </c>
      <c r="K25" s="122">
        <f t="shared" si="7"/>
        <v>0</v>
      </c>
      <c r="L25" s="122">
        <f t="shared" si="8"/>
        <v>0</v>
      </c>
    </row>
    <row r="26" ht="14.25" customHeight="1">
      <c r="B26" s="123" t="s">
        <v>138</v>
      </c>
      <c r="C26" s="164">
        <v>0.0</v>
      </c>
      <c r="E26" s="124">
        <v>1.88</v>
      </c>
      <c r="F26" s="125" t="s">
        <v>258</v>
      </c>
      <c r="G26" s="125" t="s">
        <v>138</v>
      </c>
      <c r="H26" s="186"/>
      <c r="I26" s="127">
        <f t="shared" si="9"/>
        <v>0</v>
      </c>
      <c r="J26" s="127">
        <f t="shared" si="10"/>
        <v>0</v>
      </c>
      <c r="K26" s="128">
        <f t="shared" si="7"/>
        <v>0</v>
      </c>
      <c r="L26" s="128">
        <f t="shared" si="8"/>
        <v>0</v>
      </c>
    </row>
    <row r="27" ht="14.25" customHeight="1">
      <c r="B27" s="129"/>
      <c r="C27" s="129"/>
      <c r="H27" s="130"/>
      <c r="K27" s="131"/>
      <c r="L27" s="71"/>
    </row>
    <row r="28" ht="14.25" customHeight="1">
      <c r="B28" s="106" t="s">
        <v>149</v>
      </c>
      <c r="C28" s="107">
        <f>+LOOKUP($C$6,'Pesos Cartera K Sectorial'!$C$10:$L$10,'Pesos Cartera K Sectorial'!C54:L54)</f>
        <v>0</v>
      </c>
      <c r="E28" s="132">
        <v>4.44</v>
      </c>
      <c r="F28" s="133" t="s">
        <v>265</v>
      </c>
      <c r="G28" s="133" t="s">
        <v>149</v>
      </c>
      <c r="H28" s="187"/>
      <c r="I28" s="135">
        <f t="shared" ref="I28:I29" si="11">+C28</f>
        <v>0</v>
      </c>
      <c r="J28" s="115">
        <f t="shared" ref="J28:J30" si="12">+H28/$H$6</f>
        <v>0</v>
      </c>
      <c r="K28" s="136">
        <f t="shared" ref="K28:K30" si="13">+I28*$H$6</f>
        <v>0</v>
      </c>
      <c r="L28" s="136">
        <f t="shared" ref="L28:L30" si="14">+K28-H28</f>
        <v>0</v>
      </c>
    </row>
    <row r="29" ht="14.25" customHeight="1">
      <c r="B29" s="106" t="s">
        <v>335</v>
      </c>
      <c r="C29" s="107">
        <f>+LOOKUP($C$6,'Pesos Cartera K Sectorial'!$C$10:$L$10,'Pesos Cartera K Sectorial'!C55:L55)</f>
        <v>0</v>
      </c>
      <c r="E29" s="132">
        <v>3.38</v>
      </c>
      <c r="F29" s="133" t="s">
        <v>287</v>
      </c>
      <c r="G29" s="133" t="s">
        <v>335</v>
      </c>
      <c r="H29" s="186">
        <v>0.0</v>
      </c>
      <c r="I29" s="135">
        <f t="shared" si="11"/>
        <v>0</v>
      </c>
      <c r="J29" s="138">
        <f t="shared" si="12"/>
        <v>0</v>
      </c>
      <c r="K29" s="136">
        <f t="shared" si="13"/>
        <v>0</v>
      </c>
      <c r="L29" s="136">
        <f t="shared" si="14"/>
        <v>0</v>
      </c>
    </row>
    <row r="30" ht="14.25" customHeight="1">
      <c r="E30" s="139" t="str">
        <f>+(E24*C24+E25*C25+E26*C26+E28*C28+E29*C29)/C20</f>
        <v>#DIV/0!</v>
      </c>
      <c r="F30" s="140" t="s">
        <v>336</v>
      </c>
      <c r="G30" s="141"/>
      <c r="H30" s="142">
        <f>+H23+H28+H29</f>
        <v>0</v>
      </c>
      <c r="I30" s="143">
        <f>+I20</f>
        <v>0</v>
      </c>
      <c r="J30" s="144">
        <f t="shared" si="12"/>
        <v>0</v>
      </c>
      <c r="K30" s="145">
        <f t="shared" si="13"/>
        <v>0</v>
      </c>
      <c r="L30" s="146">
        <f t="shared" si="14"/>
        <v>0</v>
      </c>
    </row>
    <row r="31" ht="14.25" customHeight="1">
      <c r="K31" s="131"/>
      <c r="L31" s="71"/>
    </row>
    <row r="32" ht="14.25" customHeight="1">
      <c r="B32" s="147" t="s">
        <v>337</v>
      </c>
      <c r="C32" s="148">
        <f>+LOOKUP($C$6,'Pesos Cartera K Sectorial'!$C$10:$L$10,'Pesos Cartera K Sectorial'!C26:L26)</f>
        <v>0.2</v>
      </c>
      <c r="G32" s="149" t="s">
        <v>337</v>
      </c>
      <c r="H32" s="150">
        <f>+I32*$H$6</f>
        <v>20000</v>
      </c>
      <c r="I32" s="151">
        <f>+C32</f>
        <v>0.2</v>
      </c>
      <c r="K32" s="131"/>
      <c r="L32" s="71"/>
    </row>
    <row r="33" ht="14.25" customHeight="1">
      <c r="K33" s="131"/>
      <c r="L33" s="71"/>
    </row>
    <row r="34" ht="14.25" customHeight="1">
      <c r="F34" s="7"/>
      <c r="G34" s="24" t="s">
        <v>338</v>
      </c>
      <c r="H34" s="85" t="s">
        <v>322</v>
      </c>
      <c r="I34" s="24" t="s">
        <v>323</v>
      </c>
      <c r="J34" s="24" t="s">
        <v>324</v>
      </c>
      <c r="K34" s="24" t="s">
        <v>325</v>
      </c>
      <c r="L34" s="86" t="s">
        <v>326</v>
      </c>
    </row>
    <row r="35" ht="14.25" customHeight="1">
      <c r="F35" s="149" t="s">
        <v>305</v>
      </c>
      <c r="G35" s="149" t="s">
        <v>337</v>
      </c>
      <c r="H35" s="152">
        <v>2000.0</v>
      </c>
      <c r="I35" s="151">
        <f>+I32</f>
        <v>0.2</v>
      </c>
      <c r="J35" s="151">
        <f>+H35/$H$6</f>
        <v>0.02</v>
      </c>
      <c r="K35" s="90">
        <f>+I35*$H$6</f>
        <v>20000</v>
      </c>
      <c r="L35" s="71">
        <f>+K35-H35</f>
        <v>18000</v>
      </c>
    </row>
    <row r="36" ht="14.25" customHeight="1">
      <c r="H36" s="153"/>
      <c r="L36" s="71"/>
    </row>
    <row r="37" ht="14.25" customHeight="1">
      <c r="G37" s="154" t="s">
        <v>340</v>
      </c>
      <c r="H37" s="155">
        <f>+H35+H30+H18</f>
        <v>82000</v>
      </c>
      <c r="I37" s="154"/>
      <c r="J37" s="154"/>
      <c r="K37" s="155">
        <f>+K35+K30+K18</f>
        <v>100000</v>
      </c>
      <c r="L37" s="156">
        <f>+K37-H37</f>
        <v>18000</v>
      </c>
    </row>
    <row r="38" ht="14.25" customHeight="1">
      <c r="L38" s="71"/>
    </row>
    <row r="39" ht="14.25" customHeight="1">
      <c r="L39" s="71"/>
    </row>
    <row r="40" ht="14.25" customHeight="1">
      <c r="L40" s="71"/>
    </row>
    <row r="41" ht="14.25" customHeight="1">
      <c r="L41" s="71"/>
    </row>
    <row r="42" ht="14.25" customHeight="1">
      <c r="L42" s="71"/>
    </row>
    <row r="43" ht="14.25" customHeight="1">
      <c r="F43" s="7" t="s">
        <v>341</v>
      </c>
      <c r="G43" s="7"/>
      <c r="L43" s="71"/>
    </row>
    <row r="44" ht="14.25" customHeight="1">
      <c r="F44" s="24" t="s">
        <v>76</v>
      </c>
      <c r="G44" s="24" t="s">
        <v>342</v>
      </c>
      <c r="H44" s="24" t="s">
        <v>338</v>
      </c>
      <c r="I44" s="24" t="s">
        <v>322</v>
      </c>
      <c r="J44" s="24" t="s">
        <v>77</v>
      </c>
      <c r="L44" s="71"/>
    </row>
    <row r="45" ht="14.25" customHeight="1">
      <c r="F45" s="157" t="s">
        <v>343</v>
      </c>
      <c r="G45" s="157" t="s">
        <v>344</v>
      </c>
      <c r="H45" s="12" t="s">
        <v>345</v>
      </c>
      <c r="I45" s="82">
        <v>0.0</v>
      </c>
      <c r="J45" s="33">
        <v>6.0E-4</v>
      </c>
      <c r="L45" s="71"/>
    </row>
    <row r="46" ht="14.25" customHeight="1">
      <c r="L46" s="71"/>
    </row>
    <row r="47" ht="14.25" customHeight="1">
      <c r="L47" s="71"/>
    </row>
    <row r="48" ht="14.25" customHeight="1">
      <c r="L48" s="71"/>
    </row>
    <row r="49" ht="14.25" customHeight="1">
      <c r="L49" s="71"/>
    </row>
    <row r="50" ht="14.25" customHeight="1">
      <c r="L50" s="71"/>
    </row>
    <row r="51" ht="14.25" customHeight="1">
      <c r="L51" s="71"/>
    </row>
    <row r="52" ht="14.25" customHeight="1">
      <c r="L52" s="158"/>
    </row>
    <row r="53" ht="14.25" customHeight="1">
      <c r="L53" s="71"/>
    </row>
    <row r="54" ht="14.25" customHeight="1">
      <c r="L54" s="71"/>
    </row>
    <row r="55" ht="14.25" customHeight="1">
      <c r="L55" s="71"/>
    </row>
    <row r="56" ht="14.25" customHeight="1">
      <c r="L56" s="71"/>
    </row>
    <row r="57" ht="14.25" customHeight="1">
      <c r="L57" s="71"/>
    </row>
    <row r="58" ht="14.25" customHeight="1">
      <c r="L58" s="71"/>
    </row>
    <row r="59" ht="14.25" customHeight="1">
      <c r="L59" s="71"/>
    </row>
    <row r="60" ht="14.25" customHeight="1">
      <c r="L60" s="71"/>
    </row>
    <row r="61" ht="14.25" customHeight="1">
      <c r="L61" s="71"/>
    </row>
    <row r="62" ht="14.25" customHeight="1">
      <c r="L62" s="71"/>
    </row>
    <row r="63" ht="14.25" customHeight="1">
      <c r="L63" s="71"/>
    </row>
    <row r="64" ht="14.25" customHeight="1">
      <c r="L64" s="71"/>
    </row>
    <row r="65" ht="14.25" customHeight="1">
      <c r="L65" s="71"/>
    </row>
    <row r="66" ht="14.25" customHeight="1">
      <c r="L66" s="71"/>
    </row>
    <row r="67" ht="14.25" customHeight="1">
      <c r="L67" s="71"/>
    </row>
    <row r="68" ht="14.25" customHeight="1">
      <c r="L68" s="71"/>
    </row>
    <row r="69" ht="14.25" customHeight="1">
      <c r="L69" s="71"/>
    </row>
    <row r="70" ht="14.25" customHeight="1">
      <c r="L70" s="71"/>
    </row>
    <row r="71" ht="14.25" customHeight="1">
      <c r="L71" s="71"/>
    </row>
    <row r="72" ht="14.25" customHeight="1">
      <c r="L72" s="71"/>
    </row>
    <row r="73" ht="14.25" customHeight="1">
      <c r="L73" s="71"/>
    </row>
    <row r="74" ht="14.25" customHeight="1">
      <c r="L74" s="71"/>
    </row>
    <row r="75" ht="14.25" customHeight="1">
      <c r="L75" s="71"/>
    </row>
    <row r="76" ht="14.25" customHeight="1">
      <c r="L76" s="71"/>
    </row>
    <row r="77" ht="14.25" customHeight="1">
      <c r="L77" s="71"/>
    </row>
    <row r="78" ht="14.25" customHeight="1">
      <c r="L78" s="71"/>
    </row>
    <row r="79" ht="14.25" customHeight="1">
      <c r="L79" s="71"/>
    </row>
    <row r="80" ht="14.25" customHeight="1">
      <c r="L80" s="71"/>
    </row>
    <row r="81" ht="14.25" customHeight="1">
      <c r="L81" s="71"/>
    </row>
    <row r="82" ht="14.25" customHeight="1">
      <c r="L82" s="71"/>
    </row>
    <row r="83" ht="14.25" customHeight="1">
      <c r="L83" s="71"/>
    </row>
    <row r="84" ht="14.25" customHeight="1">
      <c r="L84" s="71"/>
    </row>
    <row r="85" ht="14.25" customHeight="1">
      <c r="L85" s="71"/>
    </row>
    <row r="86" ht="14.25" customHeight="1">
      <c r="L86" s="71"/>
    </row>
    <row r="87" ht="14.25" customHeight="1">
      <c r="L87" s="71"/>
    </row>
    <row r="88" ht="14.25" customHeight="1">
      <c r="L88" s="71"/>
    </row>
    <row r="89" ht="14.25" customHeight="1">
      <c r="L89" s="71"/>
    </row>
    <row r="90" ht="14.25" customHeight="1">
      <c r="L90" s="71"/>
    </row>
    <row r="91" ht="14.25" customHeight="1">
      <c r="L91" s="71"/>
    </row>
    <row r="92" ht="14.25" customHeight="1">
      <c r="L92" s="71"/>
    </row>
    <row r="93" ht="14.25" customHeight="1">
      <c r="L93" s="71"/>
    </row>
    <row r="94" ht="14.25" customHeight="1">
      <c r="L94" s="71"/>
    </row>
    <row r="95" ht="14.25" customHeight="1">
      <c r="L95" s="71"/>
    </row>
    <row r="96" ht="14.25" customHeight="1">
      <c r="L96" s="71"/>
    </row>
    <row r="97" ht="14.25" customHeight="1">
      <c r="L97" s="71"/>
    </row>
    <row r="98" ht="14.25" customHeight="1">
      <c r="L98" s="71"/>
    </row>
    <row r="99" ht="14.25" customHeight="1">
      <c r="L99" s="71"/>
    </row>
    <row r="100" ht="14.25" customHeight="1">
      <c r="L100" s="71"/>
    </row>
    <row r="101" ht="14.25" customHeight="1">
      <c r="L101" s="71"/>
    </row>
    <row r="102" ht="14.25" customHeight="1">
      <c r="L102" s="71"/>
    </row>
    <row r="103" ht="14.25" customHeight="1">
      <c r="L103" s="71"/>
    </row>
    <row r="104" ht="14.25" customHeight="1">
      <c r="L104" s="71"/>
    </row>
    <row r="105" ht="14.25" customHeight="1">
      <c r="L105" s="71"/>
    </row>
    <row r="106" ht="14.25" customHeight="1">
      <c r="L106" s="71"/>
    </row>
    <row r="107" ht="14.25" customHeight="1">
      <c r="L107" s="71"/>
    </row>
    <row r="108" ht="14.25" customHeight="1">
      <c r="L108" s="71"/>
    </row>
    <row r="109" ht="14.25" customHeight="1">
      <c r="L109" s="71"/>
    </row>
    <row r="110" ht="14.25" customHeight="1">
      <c r="L110" s="71"/>
    </row>
    <row r="111" ht="14.25" customHeight="1">
      <c r="L111" s="71"/>
    </row>
    <row r="112" ht="14.25" customHeight="1">
      <c r="L112" s="71"/>
    </row>
    <row r="113" ht="14.25" customHeight="1">
      <c r="L113" s="71"/>
    </row>
    <row r="114" ht="14.25" customHeight="1">
      <c r="L114" s="71"/>
    </row>
    <row r="115" ht="14.25" customHeight="1">
      <c r="L115" s="71"/>
    </row>
    <row r="116" ht="14.25" customHeight="1">
      <c r="L116" s="71"/>
    </row>
    <row r="117" ht="14.25" customHeight="1">
      <c r="L117" s="71"/>
    </row>
    <row r="118" ht="14.25" customHeight="1">
      <c r="L118" s="71"/>
    </row>
    <row r="119" ht="14.25" customHeight="1">
      <c r="L119" s="71"/>
    </row>
    <row r="120" ht="14.25" customHeight="1">
      <c r="L120" s="71"/>
    </row>
    <row r="121" ht="14.25" customHeight="1">
      <c r="L121" s="71"/>
    </row>
    <row r="122" ht="14.25" customHeight="1">
      <c r="L122" s="71"/>
    </row>
    <row r="123" ht="14.25" customHeight="1">
      <c r="L123" s="71"/>
    </row>
    <row r="124" ht="14.25" customHeight="1">
      <c r="L124" s="71"/>
    </row>
    <row r="125" ht="14.25" customHeight="1">
      <c r="L125" s="71"/>
    </row>
    <row r="126" ht="14.25" customHeight="1">
      <c r="L126" s="71"/>
    </row>
    <row r="127" ht="14.25" customHeight="1">
      <c r="L127" s="71"/>
    </row>
    <row r="128" ht="14.25" customHeight="1">
      <c r="L128" s="71"/>
    </row>
    <row r="129" ht="14.25" customHeight="1">
      <c r="L129" s="71"/>
    </row>
    <row r="130" ht="14.25" customHeight="1">
      <c r="L130" s="71"/>
    </row>
    <row r="131" ht="14.25" customHeight="1">
      <c r="L131" s="71"/>
    </row>
    <row r="132" ht="14.25" customHeight="1">
      <c r="L132" s="71"/>
    </row>
    <row r="133" ht="14.25" customHeight="1">
      <c r="L133" s="71"/>
    </row>
    <row r="134" ht="14.25" customHeight="1">
      <c r="L134" s="71"/>
    </row>
    <row r="135" ht="14.25" customHeight="1">
      <c r="L135" s="71"/>
    </row>
    <row r="136" ht="14.25" customHeight="1">
      <c r="L136" s="71"/>
    </row>
    <row r="137" ht="14.25" customHeight="1">
      <c r="L137" s="71"/>
    </row>
    <row r="138" ht="14.25" customHeight="1">
      <c r="L138" s="71"/>
    </row>
    <row r="139" ht="14.25" customHeight="1">
      <c r="L139" s="71"/>
    </row>
    <row r="140" ht="14.25" customHeight="1">
      <c r="L140" s="71"/>
    </row>
    <row r="141" ht="14.25" customHeight="1">
      <c r="L141" s="71"/>
    </row>
    <row r="142" ht="14.25" customHeight="1">
      <c r="L142" s="71"/>
    </row>
    <row r="143" ht="14.25" customHeight="1">
      <c r="L143" s="71"/>
    </row>
    <row r="144" ht="14.25" customHeight="1">
      <c r="L144" s="71"/>
    </row>
    <row r="145" ht="14.25" customHeight="1">
      <c r="L145" s="71"/>
    </row>
    <row r="146" ht="14.25" customHeight="1">
      <c r="L146" s="71"/>
    </row>
    <row r="147" ht="14.25" customHeight="1">
      <c r="L147" s="71"/>
    </row>
    <row r="148" ht="14.25" customHeight="1">
      <c r="L148" s="71"/>
    </row>
    <row r="149" ht="14.25" customHeight="1">
      <c r="L149" s="71"/>
    </row>
    <row r="150" ht="14.25" customHeight="1">
      <c r="L150" s="71"/>
    </row>
    <row r="151" ht="14.25" customHeight="1">
      <c r="L151" s="71"/>
    </row>
    <row r="152" ht="14.25" customHeight="1">
      <c r="L152" s="71"/>
    </row>
    <row r="153" ht="14.25" customHeight="1">
      <c r="L153" s="71"/>
    </row>
    <row r="154" ht="14.25" customHeight="1">
      <c r="L154" s="71"/>
    </row>
    <row r="155" ht="14.25" customHeight="1">
      <c r="L155" s="71"/>
    </row>
    <row r="156" ht="14.25" customHeight="1">
      <c r="L156" s="71"/>
    </row>
    <row r="157" ht="14.25" customHeight="1">
      <c r="L157" s="71"/>
    </row>
    <row r="158" ht="14.25" customHeight="1">
      <c r="L158" s="71"/>
    </row>
    <row r="159" ht="14.25" customHeight="1">
      <c r="L159" s="71"/>
    </row>
    <row r="160" ht="14.25" customHeight="1">
      <c r="L160" s="71"/>
    </row>
    <row r="161" ht="14.25" customHeight="1">
      <c r="L161" s="71"/>
    </row>
    <row r="162" ht="14.25" customHeight="1">
      <c r="L162" s="71"/>
    </row>
    <row r="163" ht="14.25" customHeight="1">
      <c r="L163" s="71"/>
    </row>
    <row r="164" ht="14.25" customHeight="1">
      <c r="L164" s="71"/>
    </row>
    <row r="165" ht="14.25" customHeight="1">
      <c r="L165" s="71"/>
    </row>
    <row r="166" ht="14.25" customHeight="1">
      <c r="L166" s="71"/>
    </row>
    <row r="167" ht="14.25" customHeight="1">
      <c r="L167" s="71"/>
    </row>
    <row r="168" ht="14.25" customHeight="1">
      <c r="L168" s="71"/>
    </row>
    <row r="169" ht="14.25" customHeight="1">
      <c r="L169" s="71"/>
    </row>
    <row r="170" ht="14.25" customHeight="1">
      <c r="L170" s="71"/>
    </row>
    <row r="171" ht="14.25" customHeight="1">
      <c r="L171" s="71"/>
    </row>
    <row r="172" ht="14.25" customHeight="1">
      <c r="L172" s="71"/>
    </row>
    <row r="173" ht="14.25" customHeight="1">
      <c r="L173" s="71"/>
    </row>
    <row r="174" ht="14.25" customHeight="1">
      <c r="L174" s="71"/>
    </row>
    <row r="175" ht="14.25" customHeight="1">
      <c r="L175" s="71"/>
    </row>
    <row r="176" ht="14.25" customHeight="1">
      <c r="L176" s="71"/>
    </row>
    <row r="177" ht="14.25" customHeight="1">
      <c r="L177" s="71"/>
    </row>
    <row r="178" ht="14.25" customHeight="1">
      <c r="L178" s="71"/>
    </row>
    <row r="179" ht="14.25" customHeight="1">
      <c r="L179" s="71"/>
    </row>
    <row r="180" ht="14.25" customHeight="1">
      <c r="L180" s="71"/>
    </row>
    <row r="181" ht="14.25" customHeight="1">
      <c r="L181" s="71"/>
    </row>
    <row r="182" ht="14.25" customHeight="1">
      <c r="L182" s="71"/>
    </row>
    <row r="183" ht="14.25" customHeight="1">
      <c r="L183" s="71"/>
    </row>
    <row r="184" ht="14.25" customHeight="1">
      <c r="L184" s="71"/>
    </row>
    <row r="185" ht="14.25" customHeight="1">
      <c r="L185" s="71"/>
    </row>
    <row r="186" ht="14.25" customHeight="1">
      <c r="L186" s="71"/>
    </row>
    <row r="187" ht="14.25" customHeight="1">
      <c r="L187" s="71"/>
    </row>
    <row r="188" ht="14.25" customHeight="1">
      <c r="L188" s="71"/>
    </row>
    <row r="189" ht="14.25" customHeight="1">
      <c r="L189" s="71"/>
    </row>
    <row r="190" ht="14.25" customHeight="1">
      <c r="L190" s="71"/>
    </row>
    <row r="191" ht="14.25" customHeight="1">
      <c r="L191" s="71"/>
    </row>
    <row r="192" ht="14.25" customHeight="1">
      <c r="L192" s="71"/>
    </row>
    <row r="193" ht="14.25" customHeight="1">
      <c r="L193" s="71"/>
    </row>
    <row r="194" ht="14.25" customHeight="1">
      <c r="L194" s="71"/>
    </row>
    <row r="195" ht="14.25" customHeight="1">
      <c r="L195" s="71"/>
    </row>
    <row r="196" ht="14.25" customHeight="1">
      <c r="L196" s="71"/>
    </row>
    <row r="197" ht="14.25" customHeight="1">
      <c r="L197" s="71"/>
    </row>
    <row r="198" ht="14.25" customHeight="1">
      <c r="L198" s="71"/>
    </row>
    <row r="199" ht="14.25" customHeight="1">
      <c r="L199" s="71"/>
    </row>
    <row r="200" ht="14.25" customHeight="1">
      <c r="L200" s="71"/>
    </row>
    <row r="201" ht="14.25" customHeight="1">
      <c r="L201" s="71"/>
    </row>
    <row r="202" ht="14.25" customHeight="1">
      <c r="L202" s="71"/>
    </row>
    <row r="203" ht="14.25" customHeight="1">
      <c r="L203" s="71"/>
    </row>
    <row r="204" ht="14.25" customHeight="1">
      <c r="L204" s="71"/>
    </row>
    <row r="205" ht="14.25" customHeight="1">
      <c r="L205" s="71"/>
    </row>
    <row r="206" ht="14.25" customHeight="1">
      <c r="L206" s="71"/>
    </row>
    <row r="207" ht="14.25" customHeight="1">
      <c r="L207" s="71"/>
    </row>
    <row r="208" ht="14.25" customHeight="1">
      <c r="L208" s="71"/>
    </row>
    <row r="209" ht="14.25" customHeight="1">
      <c r="L209" s="71"/>
    </row>
    <row r="210" ht="14.25" customHeight="1">
      <c r="L210" s="71"/>
    </row>
    <row r="211" ht="14.25" customHeight="1">
      <c r="L211" s="71"/>
    </row>
    <row r="212" ht="14.25" customHeight="1">
      <c r="L212" s="71"/>
    </row>
    <row r="213" ht="14.25" customHeight="1">
      <c r="L213" s="71"/>
    </row>
    <row r="214" ht="14.25" customHeight="1">
      <c r="L214" s="71"/>
    </row>
    <row r="215" ht="14.25" customHeight="1">
      <c r="L215" s="71"/>
    </row>
    <row r="216" ht="14.25" customHeight="1">
      <c r="L216" s="71"/>
    </row>
    <row r="217" ht="14.25" customHeight="1">
      <c r="L217" s="71"/>
    </row>
    <row r="218" ht="14.25" customHeight="1">
      <c r="L218" s="71"/>
    </row>
    <row r="219" ht="14.25" customHeight="1">
      <c r="L219" s="71"/>
    </row>
    <row r="220" ht="14.25" customHeight="1">
      <c r="L220" s="71"/>
    </row>
    <row r="221" ht="14.25" customHeight="1">
      <c r="L221" s="71"/>
    </row>
    <row r="222" ht="14.25" customHeight="1">
      <c r="L222" s="71"/>
    </row>
    <row r="223" ht="14.25" customHeight="1">
      <c r="L223" s="71"/>
    </row>
    <row r="224" ht="14.25" customHeight="1">
      <c r="L224" s="71"/>
    </row>
    <row r="225" ht="14.25" customHeight="1">
      <c r="L225" s="71"/>
    </row>
    <row r="226" ht="14.25" customHeight="1">
      <c r="L226" s="71"/>
    </row>
    <row r="227" ht="14.25" customHeight="1">
      <c r="L227" s="71"/>
    </row>
    <row r="228" ht="14.25" customHeight="1">
      <c r="L228" s="71"/>
    </row>
    <row r="229" ht="14.25" customHeight="1">
      <c r="L229" s="71"/>
    </row>
    <row r="230" ht="14.25" customHeight="1">
      <c r="L230" s="71"/>
    </row>
    <row r="231" ht="14.25" customHeight="1">
      <c r="L231" s="71"/>
    </row>
    <row r="232" ht="14.25" customHeight="1">
      <c r="L232" s="71"/>
    </row>
    <row r="233" ht="14.25" customHeight="1">
      <c r="L233" s="71"/>
    </row>
    <row r="234" ht="14.25" customHeight="1">
      <c r="L234" s="71"/>
    </row>
    <row r="235" ht="14.25" customHeight="1">
      <c r="L235" s="71"/>
    </row>
    <row r="236" ht="14.25" customHeight="1">
      <c r="L236" s="71"/>
    </row>
    <row r="237" ht="14.25" customHeight="1">
      <c r="L237" s="71"/>
    </row>
    <row r="238" ht="14.25" customHeight="1">
      <c r="L238" s="71"/>
    </row>
    <row r="239" ht="14.25" customHeight="1">
      <c r="L239" s="71"/>
    </row>
    <row r="240" ht="14.25" customHeight="1">
      <c r="L240" s="71"/>
    </row>
    <row r="241" ht="14.25" customHeight="1">
      <c r="L241" s="71"/>
    </row>
    <row r="242" ht="14.25" customHeight="1">
      <c r="L242" s="71"/>
    </row>
    <row r="243" ht="14.25" customHeight="1">
      <c r="L243" s="71"/>
    </row>
    <row r="244" ht="14.25" customHeight="1">
      <c r="L244" s="71"/>
    </row>
    <row r="245" ht="14.25" customHeight="1">
      <c r="L245" s="71"/>
    </row>
    <row r="246" ht="14.25" customHeight="1">
      <c r="L246" s="71"/>
    </row>
    <row r="247" ht="14.25" customHeight="1">
      <c r="L247" s="71"/>
    </row>
    <row r="248" ht="14.25" customHeight="1">
      <c r="L248" s="71"/>
    </row>
    <row r="249" ht="14.25" customHeight="1">
      <c r="L249" s="71"/>
    </row>
    <row r="250" ht="14.25" customHeight="1">
      <c r="L250" s="71"/>
    </row>
    <row r="251" ht="14.25" customHeight="1">
      <c r="L251" s="71"/>
    </row>
    <row r="252" ht="14.25" customHeight="1">
      <c r="L252" s="71"/>
    </row>
    <row r="253" ht="14.25" customHeight="1">
      <c r="L253" s="71"/>
    </row>
    <row r="254" ht="14.25" customHeight="1">
      <c r="L254" s="71"/>
    </row>
    <row r="255" ht="14.25" customHeight="1">
      <c r="L255" s="71"/>
    </row>
    <row r="256" ht="14.25" customHeight="1">
      <c r="L256" s="71"/>
    </row>
    <row r="257" ht="14.25" customHeight="1">
      <c r="L257" s="71"/>
    </row>
    <row r="258" ht="14.25" customHeight="1">
      <c r="L258" s="71"/>
    </row>
    <row r="259" ht="14.25" customHeight="1">
      <c r="L259" s="71"/>
    </row>
    <row r="260" ht="14.25" customHeight="1">
      <c r="L260" s="71"/>
    </row>
    <row r="261" ht="14.25" customHeight="1">
      <c r="L261" s="71"/>
    </row>
    <row r="262" ht="14.25" customHeight="1">
      <c r="L262" s="71"/>
    </row>
    <row r="263" ht="14.25" customHeight="1">
      <c r="L263" s="71"/>
    </row>
    <row r="264" ht="14.25" customHeight="1">
      <c r="L264" s="71"/>
    </row>
    <row r="265" ht="14.25" customHeight="1">
      <c r="L265" s="71"/>
    </row>
    <row r="266" ht="14.25" customHeight="1">
      <c r="L266" s="71"/>
    </row>
    <row r="267" ht="14.25" customHeight="1">
      <c r="L267" s="71"/>
    </row>
    <row r="268" ht="14.25" customHeight="1">
      <c r="L268" s="71"/>
    </row>
    <row r="269" ht="14.25" customHeight="1">
      <c r="L269" s="71"/>
    </row>
    <row r="270" ht="14.25" customHeight="1">
      <c r="L270" s="71"/>
    </row>
    <row r="271" ht="14.25" customHeight="1">
      <c r="L271" s="71"/>
    </row>
    <row r="272" ht="14.25" customHeight="1">
      <c r="L272" s="71"/>
    </row>
    <row r="273" ht="14.25" customHeight="1">
      <c r="L273" s="71"/>
    </row>
    <row r="274" ht="14.25" customHeight="1">
      <c r="L274" s="71"/>
    </row>
    <row r="275" ht="14.25" customHeight="1">
      <c r="L275" s="71"/>
    </row>
    <row r="276" ht="14.25" customHeight="1">
      <c r="L276" s="71"/>
    </row>
    <row r="277" ht="14.25" customHeight="1">
      <c r="L277" s="71"/>
    </row>
    <row r="278" ht="14.25" customHeight="1">
      <c r="L278" s="71"/>
    </row>
    <row r="279" ht="14.25" customHeight="1">
      <c r="L279" s="71"/>
    </row>
    <row r="280" ht="14.25" customHeight="1">
      <c r="L280" s="71"/>
    </row>
    <row r="281" ht="14.25" customHeight="1">
      <c r="L281" s="71"/>
    </row>
    <row r="282" ht="14.25" customHeight="1">
      <c r="L282" s="71"/>
    </row>
    <row r="283" ht="14.25" customHeight="1">
      <c r="L283" s="71"/>
    </row>
    <row r="284" ht="14.25" customHeight="1">
      <c r="L284" s="71"/>
    </row>
    <row r="285" ht="14.25" customHeight="1">
      <c r="L285" s="71"/>
    </row>
    <row r="286" ht="14.25" customHeight="1">
      <c r="L286" s="71"/>
    </row>
    <row r="287" ht="14.25" customHeight="1">
      <c r="L287" s="71"/>
    </row>
    <row r="288" ht="14.25" customHeight="1">
      <c r="L288" s="71"/>
    </row>
    <row r="289" ht="14.25" customHeight="1">
      <c r="L289" s="71"/>
    </row>
    <row r="290" ht="14.25" customHeight="1">
      <c r="L290" s="71"/>
    </row>
    <row r="291" ht="14.25" customHeight="1">
      <c r="L291" s="71"/>
    </row>
    <row r="292" ht="14.25" customHeight="1">
      <c r="L292" s="71"/>
    </row>
    <row r="293" ht="14.25" customHeight="1">
      <c r="L293" s="71"/>
    </row>
    <row r="294" ht="14.25" customHeight="1">
      <c r="L294" s="71"/>
    </row>
    <row r="295" ht="14.25" customHeight="1">
      <c r="L295" s="71"/>
    </row>
    <row r="296" ht="14.25" customHeight="1">
      <c r="L296" s="71"/>
    </row>
    <row r="297" ht="14.25" customHeight="1">
      <c r="L297" s="71"/>
    </row>
    <row r="298" ht="14.25" customHeight="1">
      <c r="L298" s="71"/>
    </row>
    <row r="299" ht="14.25" customHeight="1">
      <c r="L299" s="71"/>
    </row>
    <row r="300" ht="14.25" customHeight="1">
      <c r="L300" s="71"/>
    </row>
    <row r="301" ht="14.25" customHeight="1">
      <c r="L301" s="71"/>
    </row>
    <row r="302" ht="14.25" customHeight="1">
      <c r="L302" s="71"/>
    </row>
    <row r="303" ht="14.25" customHeight="1">
      <c r="L303" s="71"/>
    </row>
    <row r="304" ht="14.25" customHeight="1">
      <c r="L304" s="71"/>
    </row>
    <row r="305" ht="14.25" customHeight="1">
      <c r="L305" s="71"/>
    </row>
    <row r="306" ht="14.25" customHeight="1">
      <c r="L306" s="71"/>
    </row>
    <row r="307" ht="14.25" customHeight="1">
      <c r="L307" s="71"/>
    </row>
    <row r="308" ht="14.25" customHeight="1">
      <c r="L308" s="71"/>
    </row>
    <row r="309" ht="14.25" customHeight="1">
      <c r="L309" s="71"/>
    </row>
    <row r="310" ht="14.25" customHeight="1">
      <c r="L310" s="71"/>
    </row>
    <row r="311" ht="14.25" customHeight="1">
      <c r="L311" s="71"/>
    </row>
    <row r="312" ht="14.25" customHeight="1">
      <c r="L312" s="71"/>
    </row>
    <row r="313" ht="14.25" customHeight="1">
      <c r="L313" s="71"/>
    </row>
    <row r="314" ht="14.25" customHeight="1">
      <c r="L314" s="71"/>
    </row>
    <row r="315" ht="14.25" customHeight="1">
      <c r="L315" s="71"/>
    </row>
    <row r="316" ht="14.25" customHeight="1">
      <c r="L316" s="71"/>
    </row>
    <row r="317" ht="14.25" customHeight="1">
      <c r="L317" s="71"/>
    </row>
    <row r="318" ht="14.25" customHeight="1">
      <c r="L318" s="71"/>
    </row>
    <row r="319" ht="14.25" customHeight="1">
      <c r="L319" s="71"/>
    </row>
    <row r="320" ht="14.25" customHeight="1">
      <c r="L320" s="71"/>
    </row>
    <row r="321" ht="14.25" customHeight="1">
      <c r="L321" s="71"/>
    </row>
    <row r="322" ht="14.25" customHeight="1">
      <c r="L322" s="71"/>
    </row>
    <row r="323" ht="14.25" customHeight="1">
      <c r="L323" s="71"/>
    </row>
    <row r="324" ht="14.25" customHeight="1">
      <c r="L324" s="71"/>
    </row>
    <row r="325" ht="14.25" customHeight="1">
      <c r="L325" s="71"/>
    </row>
    <row r="326" ht="14.25" customHeight="1">
      <c r="L326" s="71"/>
    </row>
    <row r="327" ht="14.25" customHeight="1">
      <c r="L327" s="71"/>
    </row>
    <row r="328" ht="14.25" customHeight="1">
      <c r="L328" s="71"/>
    </row>
    <row r="329" ht="14.25" customHeight="1">
      <c r="L329" s="71"/>
    </row>
    <row r="330" ht="14.25" customHeight="1">
      <c r="L330" s="71"/>
    </row>
    <row r="331" ht="14.25" customHeight="1">
      <c r="L331" s="71"/>
    </row>
    <row r="332" ht="14.25" customHeight="1">
      <c r="L332" s="71"/>
    </row>
    <row r="333" ht="14.25" customHeight="1">
      <c r="L333" s="71"/>
    </row>
    <row r="334" ht="14.25" customHeight="1">
      <c r="L334" s="71"/>
    </row>
    <row r="335" ht="14.25" customHeight="1">
      <c r="L335" s="71"/>
    </row>
    <row r="336" ht="14.25" customHeight="1">
      <c r="L336" s="71"/>
    </row>
    <row r="337" ht="14.25" customHeight="1">
      <c r="L337" s="71"/>
    </row>
    <row r="338" ht="14.25" customHeight="1">
      <c r="L338" s="71"/>
    </row>
    <row r="339" ht="14.25" customHeight="1">
      <c r="L339" s="71"/>
    </row>
    <row r="340" ht="14.25" customHeight="1">
      <c r="L340" s="71"/>
    </row>
    <row r="341" ht="14.25" customHeight="1">
      <c r="L341" s="71"/>
    </row>
    <row r="342" ht="14.25" customHeight="1">
      <c r="L342" s="71"/>
    </row>
    <row r="343" ht="14.25" customHeight="1">
      <c r="L343" s="71"/>
    </row>
    <row r="344" ht="14.25" customHeight="1">
      <c r="L344" s="71"/>
    </row>
    <row r="345" ht="14.25" customHeight="1">
      <c r="L345" s="71"/>
    </row>
    <row r="346" ht="14.25" customHeight="1">
      <c r="L346" s="71"/>
    </row>
    <row r="347" ht="14.25" customHeight="1">
      <c r="L347" s="71"/>
    </row>
    <row r="348" ht="14.25" customHeight="1">
      <c r="L348" s="71"/>
    </row>
    <row r="349" ht="14.25" customHeight="1">
      <c r="L349" s="71"/>
    </row>
    <row r="350" ht="14.25" customHeight="1">
      <c r="L350" s="71"/>
    </row>
    <row r="351" ht="14.25" customHeight="1">
      <c r="L351" s="71"/>
    </row>
    <row r="352" ht="14.25" customHeight="1">
      <c r="L352" s="71"/>
    </row>
    <row r="353" ht="14.25" customHeight="1">
      <c r="L353" s="71"/>
    </row>
    <row r="354" ht="14.25" customHeight="1">
      <c r="L354" s="71"/>
    </row>
    <row r="355" ht="14.25" customHeight="1">
      <c r="L355" s="71"/>
    </row>
    <row r="356" ht="14.25" customHeight="1">
      <c r="L356" s="71"/>
    </row>
    <row r="357" ht="14.25" customHeight="1">
      <c r="L357" s="71"/>
    </row>
    <row r="358" ht="14.25" customHeight="1">
      <c r="L358" s="71"/>
    </row>
    <row r="359" ht="14.25" customHeight="1">
      <c r="L359" s="71"/>
    </row>
    <row r="360" ht="14.25" customHeight="1">
      <c r="L360" s="71"/>
    </row>
    <row r="361" ht="14.25" customHeight="1">
      <c r="L361" s="71"/>
    </row>
    <row r="362" ht="14.25" customHeight="1">
      <c r="L362" s="71"/>
    </row>
    <row r="363" ht="14.25" customHeight="1">
      <c r="L363" s="71"/>
    </row>
    <row r="364" ht="14.25" customHeight="1">
      <c r="L364" s="71"/>
    </row>
    <row r="365" ht="14.25" customHeight="1">
      <c r="L365" s="71"/>
    </row>
    <row r="366" ht="14.25" customHeight="1">
      <c r="L366" s="71"/>
    </row>
    <row r="367" ht="14.25" customHeight="1">
      <c r="L367" s="71"/>
    </row>
    <row r="368" ht="14.25" customHeight="1">
      <c r="L368" s="71"/>
    </row>
    <row r="369" ht="14.25" customHeight="1">
      <c r="L369" s="71"/>
    </row>
    <row r="370" ht="14.25" customHeight="1">
      <c r="L370" s="71"/>
    </row>
    <row r="371" ht="14.25" customHeight="1">
      <c r="L371" s="71"/>
    </row>
    <row r="372" ht="14.25" customHeight="1">
      <c r="L372" s="71"/>
    </row>
    <row r="373" ht="14.25" customHeight="1">
      <c r="L373" s="71"/>
    </row>
    <row r="374" ht="14.25" customHeight="1">
      <c r="L374" s="71"/>
    </row>
    <row r="375" ht="14.25" customHeight="1">
      <c r="L375" s="71"/>
    </row>
    <row r="376" ht="14.25" customHeight="1">
      <c r="L376" s="71"/>
    </row>
    <row r="377" ht="14.25" customHeight="1">
      <c r="L377" s="71"/>
    </row>
    <row r="378" ht="14.25" customHeight="1">
      <c r="L378" s="71"/>
    </row>
    <row r="379" ht="14.25" customHeight="1">
      <c r="L379" s="71"/>
    </row>
    <row r="380" ht="14.25" customHeight="1">
      <c r="L380" s="71"/>
    </row>
    <row r="381" ht="14.25" customHeight="1">
      <c r="L381" s="71"/>
    </row>
    <row r="382" ht="14.25" customHeight="1">
      <c r="L382" s="71"/>
    </row>
    <row r="383" ht="14.25" customHeight="1">
      <c r="L383" s="71"/>
    </row>
    <row r="384" ht="14.25" customHeight="1">
      <c r="L384" s="71"/>
    </row>
    <row r="385" ht="14.25" customHeight="1">
      <c r="L385" s="71"/>
    </row>
    <row r="386" ht="14.25" customHeight="1">
      <c r="L386" s="71"/>
    </row>
    <row r="387" ht="14.25" customHeight="1">
      <c r="L387" s="71"/>
    </row>
    <row r="388" ht="14.25" customHeight="1">
      <c r="L388" s="71"/>
    </row>
    <row r="389" ht="14.25" customHeight="1">
      <c r="L389" s="71"/>
    </row>
    <row r="390" ht="14.25" customHeight="1">
      <c r="L390" s="71"/>
    </row>
    <row r="391" ht="14.25" customHeight="1">
      <c r="L391" s="71"/>
    </row>
    <row r="392" ht="14.25" customHeight="1">
      <c r="L392" s="71"/>
    </row>
    <row r="393" ht="14.25" customHeight="1">
      <c r="L393" s="71"/>
    </row>
    <row r="394" ht="14.25" customHeight="1">
      <c r="L394" s="71"/>
    </row>
    <row r="395" ht="14.25" customHeight="1">
      <c r="L395" s="71"/>
    </row>
    <row r="396" ht="14.25" customHeight="1">
      <c r="L396" s="71"/>
    </row>
    <row r="397" ht="14.25" customHeight="1">
      <c r="L397" s="71"/>
    </row>
    <row r="398" ht="14.25" customHeight="1">
      <c r="L398" s="71"/>
    </row>
    <row r="399" ht="14.25" customHeight="1">
      <c r="L399" s="71"/>
    </row>
    <row r="400" ht="14.25" customHeight="1">
      <c r="L400" s="71"/>
    </row>
    <row r="401" ht="14.25" customHeight="1">
      <c r="L401" s="71"/>
    </row>
    <row r="402" ht="14.25" customHeight="1">
      <c r="L402" s="71"/>
    </row>
    <row r="403" ht="14.25" customHeight="1">
      <c r="L403" s="71"/>
    </row>
    <row r="404" ht="14.25" customHeight="1">
      <c r="L404" s="71"/>
    </row>
    <row r="405" ht="14.25" customHeight="1">
      <c r="L405" s="71"/>
    </row>
    <row r="406" ht="14.25" customHeight="1">
      <c r="L406" s="71"/>
    </row>
    <row r="407" ht="14.25" customHeight="1">
      <c r="L407" s="71"/>
    </row>
    <row r="408" ht="14.25" customHeight="1">
      <c r="L408" s="71"/>
    </row>
    <row r="409" ht="14.25" customHeight="1">
      <c r="L409" s="71"/>
    </row>
    <row r="410" ht="14.25" customHeight="1">
      <c r="L410" s="71"/>
    </row>
    <row r="411" ht="14.25" customHeight="1">
      <c r="L411" s="71"/>
    </row>
    <row r="412" ht="14.25" customHeight="1">
      <c r="L412" s="71"/>
    </row>
    <row r="413" ht="14.25" customHeight="1">
      <c r="L413" s="71"/>
    </row>
    <row r="414" ht="14.25" customHeight="1">
      <c r="L414" s="71"/>
    </row>
    <row r="415" ht="14.25" customHeight="1">
      <c r="L415" s="71"/>
    </row>
    <row r="416" ht="14.25" customHeight="1">
      <c r="L416" s="71"/>
    </row>
    <row r="417" ht="14.25" customHeight="1">
      <c r="L417" s="71"/>
    </row>
    <row r="418" ht="14.25" customHeight="1">
      <c r="L418" s="71"/>
    </row>
    <row r="419" ht="14.25" customHeight="1">
      <c r="L419" s="71"/>
    </row>
    <row r="420" ht="14.25" customHeight="1">
      <c r="L420" s="71"/>
    </row>
    <row r="421" ht="14.25" customHeight="1">
      <c r="L421" s="71"/>
    </row>
    <row r="422" ht="14.25" customHeight="1">
      <c r="L422" s="71"/>
    </row>
    <row r="423" ht="14.25" customHeight="1">
      <c r="L423" s="71"/>
    </row>
    <row r="424" ht="14.25" customHeight="1">
      <c r="L424" s="71"/>
    </row>
    <row r="425" ht="14.25" customHeight="1">
      <c r="L425" s="71"/>
    </row>
    <row r="426" ht="14.25" customHeight="1">
      <c r="L426" s="71"/>
    </row>
    <row r="427" ht="14.25" customHeight="1">
      <c r="L427" s="71"/>
    </row>
    <row r="428" ht="14.25" customHeight="1">
      <c r="L428" s="71"/>
    </row>
    <row r="429" ht="14.25" customHeight="1">
      <c r="L429" s="71"/>
    </row>
    <row r="430" ht="14.25" customHeight="1">
      <c r="L430" s="71"/>
    </row>
    <row r="431" ht="14.25" customHeight="1">
      <c r="L431" s="71"/>
    </row>
    <row r="432" ht="14.25" customHeight="1">
      <c r="L432" s="71"/>
    </row>
    <row r="433" ht="14.25" customHeight="1">
      <c r="L433" s="71"/>
    </row>
    <row r="434" ht="14.25" customHeight="1">
      <c r="L434" s="71"/>
    </row>
    <row r="435" ht="14.25" customHeight="1">
      <c r="L435" s="71"/>
    </row>
    <row r="436" ht="14.25" customHeight="1">
      <c r="L436" s="71"/>
    </row>
    <row r="437" ht="14.25" customHeight="1">
      <c r="L437" s="71"/>
    </row>
    <row r="438" ht="14.25" customHeight="1">
      <c r="L438" s="71"/>
    </row>
    <row r="439" ht="14.25" customHeight="1">
      <c r="L439" s="71"/>
    </row>
    <row r="440" ht="14.25" customHeight="1">
      <c r="L440" s="71"/>
    </row>
    <row r="441" ht="14.25" customHeight="1">
      <c r="L441" s="71"/>
    </row>
    <row r="442" ht="14.25" customHeight="1">
      <c r="L442" s="71"/>
    </row>
    <row r="443" ht="14.25" customHeight="1">
      <c r="L443" s="71"/>
    </row>
    <row r="444" ht="14.25" customHeight="1">
      <c r="L444" s="71"/>
    </row>
    <row r="445" ht="14.25" customHeight="1">
      <c r="L445" s="71"/>
    </row>
    <row r="446" ht="14.25" customHeight="1">
      <c r="L446" s="71"/>
    </row>
    <row r="447" ht="14.25" customHeight="1">
      <c r="L447" s="71"/>
    </row>
    <row r="448" ht="14.25" customHeight="1">
      <c r="L448" s="71"/>
    </row>
    <row r="449" ht="14.25" customHeight="1">
      <c r="L449" s="71"/>
    </row>
    <row r="450" ht="14.25" customHeight="1">
      <c r="L450" s="71"/>
    </row>
    <row r="451" ht="14.25" customHeight="1">
      <c r="L451" s="71"/>
    </row>
    <row r="452" ht="14.25" customHeight="1">
      <c r="L452" s="71"/>
    </row>
    <row r="453" ht="14.25" customHeight="1">
      <c r="L453" s="71"/>
    </row>
    <row r="454" ht="14.25" customHeight="1">
      <c r="L454" s="71"/>
    </row>
    <row r="455" ht="14.25" customHeight="1">
      <c r="L455" s="71"/>
    </row>
    <row r="456" ht="14.25" customHeight="1">
      <c r="L456" s="71"/>
    </row>
    <row r="457" ht="14.25" customHeight="1">
      <c r="L457" s="71"/>
    </row>
    <row r="458" ht="14.25" customHeight="1">
      <c r="L458" s="71"/>
    </row>
    <row r="459" ht="14.25" customHeight="1">
      <c r="L459" s="71"/>
    </row>
    <row r="460" ht="14.25" customHeight="1">
      <c r="L460" s="71"/>
    </row>
    <row r="461" ht="14.25" customHeight="1">
      <c r="L461" s="71"/>
    </row>
    <row r="462" ht="14.25" customHeight="1">
      <c r="L462" s="71"/>
    </row>
    <row r="463" ht="14.25" customHeight="1">
      <c r="L463" s="71"/>
    </row>
    <row r="464" ht="14.25" customHeight="1">
      <c r="L464" s="71"/>
    </row>
    <row r="465" ht="14.25" customHeight="1">
      <c r="L465" s="71"/>
    </row>
    <row r="466" ht="14.25" customHeight="1">
      <c r="L466" s="71"/>
    </row>
    <row r="467" ht="14.25" customHeight="1">
      <c r="L467" s="71"/>
    </row>
    <row r="468" ht="14.25" customHeight="1">
      <c r="L468" s="71"/>
    </row>
    <row r="469" ht="14.25" customHeight="1">
      <c r="L469" s="71"/>
    </row>
    <row r="470" ht="14.25" customHeight="1">
      <c r="L470" s="71"/>
    </row>
    <row r="471" ht="14.25" customHeight="1">
      <c r="L471" s="71"/>
    </row>
    <row r="472" ht="14.25" customHeight="1">
      <c r="L472" s="71"/>
    </row>
    <row r="473" ht="14.25" customHeight="1">
      <c r="L473" s="71"/>
    </row>
    <row r="474" ht="14.25" customHeight="1">
      <c r="L474" s="71"/>
    </row>
    <row r="475" ht="14.25" customHeight="1">
      <c r="L475" s="71"/>
    </row>
    <row r="476" ht="14.25" customHeight="1">
      <c r="L476" s="71"/>
    </row>
    <row r="477" ht="14.25" customHeight="1">
      <c r="L477" s="71"/>
    </row>
    <row r="478" ht="14.25" customHeight="1">
      <c r="L478" s="71"/>
    </row>
    <row r="479" ht="14.25" customHeight="1">
      <c r="L479" s="71"/>
    </row>
    <row r="480" ht="14.25" customHeight="1">
      <c r="L480" s="71"/>
    </row>
    <row r="481" ht="14.25" customHeight="1">
      <c r="L481" s="71"/>
    </row>
    <row r="482" ht="14.25" customHeight="1">
      <c r="L482" s="71"/>
    </row>
    <row r="483" ht="14.25" customHeight="1">
      <c r="L483" s="71"/>
    </row>
    <row r="484" ht="14.25" customHeight="1">
      <c r="L484" s="71"/>
    </row>
    <row r="485" ht="14.25" customHeight="1">
      <c r="L485" s="71"/>
    </row>
    <row r="486" ht="14.25" customHeight="1">
      <c r="L486" s="71"/>
    </row>
    <row r="487" ht="14.25" customHeight="1">
      <c r="L487" s="71"/>
    </row>
    <row r="488" ht="14.25" customHeight="1">
      <c r="L488" s="71"/>
    </row>
    <row r="489" ht="14.25" customHeight="1">
      <c r="L489" s="71"/>
    </row>
    <row r="490" ht="14.25" customHeight="1">
      <c r="L490" s="71"/>
    </row>
    <row r="491" ht="14.25" customHeight="1">
      <c r="L491" s="71"/>
    </row>
    <row r="492" ht="14.25" customHeight="1">
      <c r="L492" s="71"/>
    </row>
    <row r="493" ht="14.25" customHeight="1">
      <c r="L493" s="71"/>
    </row>
    <row r="494" ht="14.25" customHeight="1">
      <c r="L494" s="71"/>
    </row>
    <row r="495" ht="14.25" customHeight="1">
      <c r="L495" s="71"/>
    </row>
    <row r="496" ht="14.25" customHeight="1">
      <c r="L496" s="71"/>
    </row>
    <row r="497" ht="14.25" customHeight="1">
      <c r="L497" s="71"/>
    </row>
    <row r="498" ht="14.25" customHeight="1">
      <c r="L498" s="71"/>
    </row>
    <row r="499" ht="14.25" customHeight="1">
      <c r="L499" s="71"/>
    </row>
    <row r="500" ht="14.25" customHeight="1">
      <c r="L500" s="71"/>
    </row>
    <row r="501" ht="14.25" customHeight="1">
      <c r="L501" s="71"/>
    </row>
    <row r="502" ht="14.25" customHeight="1">
      <c r="L502" s="71"/>
    </row>
    <row r="503" ht="14.25" customHeight="1">
      <c r="L503" s="71"/>
    </row>
    <row r="504" ht="14.25" customHeight="1">
      <c r="L504" s="71"/>
    </row>
    <row r="505" ht="14.25" customHeight="1">
      <c r="L505" s="71"/>
    </row>
    <row r="506" ht="14.25" customHeight="1">
      <c r="L506" s="71"/>
    </row>
    <row r="507" ht="14.25" customHeight="1">
      <c r="L507" s="71"/>
    </row>
    <row r="508" ht="14.25" customHeight="1">
      <c r="L508" s="71"/>
    </row>
    <row r="509" ht="14.25" customHeight="1">
      <c r="L509" s="71"/>
    </row>
    <row r="510" ht="14.25" customHeight="1">
      <c r="L510" s="71"/>
    </row>
    <row r="511" ht="14.25" customHeight="1">
      <c r="L511" s="71"/>
    </row>
    <row r="512" ht="14.25" customHeight="1">
      <c r="L512" s="71"/>
    </row>
    <row r="513" ht="14.25" customHeight="1">
      <c r="L513" s="71"/>
    </row>
    <row r="514" ht="14.25" customHeight="1">
      <c r="L514" s="71"/>
    </row>
    <row r="515" ht="14.25" customHeight="1">
      <c r="L515" s="71"/>
    </row>
    <row r="516" ht="14.25" customHeight="1">
      <c r="L516" s="71"/>
    </row>
    <row r="517" ht="14.25" customHeight="1">
      <c r="L517" s="71"/>
    </row>
    <row r="518" ht="14.25" customHeight="1">
      <c r="L518" s="71"/>
    </row>
    <row r="519" ht="14.25" customHeight="1">
      <c r="L519" s="71"/>
    </row>
    <row r="520" ht="14.25" customHeight="1">
      <c r="L520" s="71"/>
    </row>
    <row r="521" ht="14.25" customHeight="1">
      <c r="L521" s="71"/>
    </row>
    <row r="522" ht="14.25" customHeight="1">
      <c r="L522" s="71"/>
    </row>
    <row r="523" ht="14.25" customHeight="1">
      <c r="L523" s="71"/>
    </row>
    <row r="524" ht="14.25" customHeight="1">
      <c r="L524" s="71"/>
    </row>
    <row r="525" ht="14.25" customHeight="1">
      <c r="L525" s="71"/>
    </row>
    <row r="526" ht="14.25" customHeight="1">
      <c r="L526" s="71"/>
    </row>
    <row r="527" ht="14.25" customHeight="1">
      <c r="L527" s="71"/>
    </row>
    <row r="528" ht="14.25" customHeight="1">
      <c r="L528" s="71"/>
    </row>
    <row r="529" ht="14.25" customHeight="1">
      <c r="L529" s="71"/>
    </row>
    <row r="530" ht="14.25" customHeight="1">
      <c r="L530" s="71"/>
    </row>
    <row r="531" ht="14.25" customHeight="1">
      <c r="L531" s="71"/>
    </row>
    <row r="532" ht="14.25" customHeight="1">
      <c r="L532" s="71"/>
    </row>
    <row r="533" ht="14.25" customHeight="1">
      <c r="L533" s="71"/>
    </row>
    <row r="534" ht="14.25" customHeight="1">
      <c r="L534" s="71"/>
    </row>
    <row r="535" ht="14.25" customHeight="1">
      <c r="L535" s="71"/>
    </row>
    <row r="536" ht="14.25" customHeight="1">
      <c r="L536" s="71"/>
    </row>
    <row r="537" ht="14.25" customHeight="1">
      <c r="L537" s="71"/>
    </row>
    <row r="538" ht="14.25" customHeight="1">
      <c r="L538" s="71"/>
    </row>
    <row r="539" ht="14.25" customHeight="1">
      <c r="L539" s="71"/>
    </row>
    <row r="540" ht="14.25" customHeight="1">
      <c r="L540" s="71"/>
    </row>
    <row r="541" ht="14.25" customHeight="1">
      <c r="L541" s="71"/>
    </row>
    <row r="542" ht="14.25" customHeight="1">
      <c r="L542" s="71"/>
    </row>
    <row r="543" ht="14.25" customHeight="1">
      <c r="L543" s="71"/>
    </row>
    <row r="544" ht="14.25" customHeight="1">
      <c r="L544" s="71"/>
    </row>
    <row r="545" ht="14.25" customHeight="1">
      <c r="L545" s="71"/>
    </row>
    <row r="546" ht="14.25" customHeight="1">
      <c r="L546" s="71"/>
    </row>
    <row r="547" ht="14.25" customHeight="1">
      <c r="L547" s="71"/>
    </row>
    <row r="548" ht="14.25" customHeight="1">
      <c r="L548" s="71"/>
    </row>
    <row r="549" ht="14.25" customHeight="1">
      <c r="L549" s="71"/>
    </row>
    <row r="550" ht="14.25" customHeight="1">
      <c r="L550" s="71"/>
    </row>
    <row r="551" ht="14.25" customHeight="1">
      <c r="L551" s="71"/>
    </row>
    <row r="552" ht="14.25" customHeight="1">
      <c r="L552" s="71"/>
    </row>
    <row r="553" ht="14.25" customHeight="1">
      <c r="L553" s="71"/>
    </row>
    <row r="554" ht="14.25" customHeight="1">
      <c r="L554" s="71"/>
    </row>
    <row r="555" ht="14.25" customHeight="1">
      <c r="L555" s="71"/>
    </row>
    <row r="556" ht="14.25" customHeight="1">
      <c r="L556" s="71"/>
    </row>
    <row r="557" ht="14.25" customHeight="1">
      <c r="L557" s="71"/>
    </row>
    <row r="558" ht="14.25" customHeight="1">
      <c r="L558" s="71"/>
    </row>
    <row r="559" ht="14.25" customHeight="1">
      <c r="L559" s="71"/>
    </row>
    <row r="560" ht="14.25" customHeight="1">
      <c r="L560" s="71"/>
    </row>
    <row r="561" ht="14.25" customHeight="1">
      <c r="L561" s="71"/>
    </row>
    <row r="562" ht="14.25" customHeight="1">
      <c r="L562" s="71"/>
    </row>
    <row r="563" ht="14.25" customHeight="1">
      <c r="L563" s="71"/>
    </row>
    <row r="564" ht="14.25" customHeight="1">
      <c r="L564" s="71"/>
    </row>
    <row r="565" ht="14.25" customHeight="1">
      <c r="L565" s="71"/>
    </row>
    <row r="566" ht="14.25" customHeight="1">
      <c r="L566" s="71"/>
    </row>
    <row r="567" ht="14.25" customHeight="1">
      <c r="L567" s="71"/>
    </row>
    <row r="568" ht="14.25" customHeight="1">
      <c r="L568" s="71"/>
    </row>
    <row r="569" ht="14.25" customHeight="1">
      <c r="L569" s="71"/>
    </row>
    <row r="570" ht="14.25" customHeight="1">
      <c r="L570" s="71"/>
    </row>
    <row r="571" ht="14.25" customHeight="1">
      <c r="L571" s="71"/>
    </row>
    <row r="572" ht="14.25" customHeight="1">
      <c r="L572" s="71"/>
    </row>
    <row r="573" ht="14.25" customHeight="1">
      <c r="L573" s="71"/>
    </row>
    <row r="574" ht="14.25" customHeight="1">
      <c r="L574" s="71"/>
    </row>
    <row r="575" ht="14.25" customHeight="1">
      <c r="L575" s="71"/>
    </row>
    <row r="576" ht="14.25" customHeight="1">
      <c r="L576" s="71"/>
    </row>
    <row r="577" ht="14.25" customHeight="1">
      <c r="L577" s="71"/>
    </row>
    <row r="578" ht="14.25" customHeight="1">
      <c r="L578" s="71"/>
    </row>
    <row r="579" ht="14.25" customHeight="1">
      <c r="L579" s="71"/>
    </row>
    <row r="580" ht="14.25" customHeight="1">
      <c r="L580" s="71"/>
    </row>
    <row r="581" ht="14.25" customHeight="1">
      <c r="L581" s="71"/>
    </row>
    <row r="582" ht="14.25" customHeight="1">
      <c r="L582" s="71"/>
    </row>
    <row r="583" ht="14.25" customHeight="1">
      <c r="L583" s="71"/>
    </row>
    <row r="584" ht="14.25" customHeight="1">
      <c r="L584" s="71"/>
    </row>
    <row r="585" ht="14.25" customHeight="1">
      <c r="L585" s="71"/>
    </row>
    <row r="586" ht="14.25" customHeight="1">
      <c r="L586" s="71"/>
    </row>
    <row r="587" ht="14.25" customHeight="1">
      <c r="L587" s="71"/>
    </row>
    <row r="588" ht="14.25" customHeight="1">
      <c r="L588" s="71"/>
    </row>
    <row r="589" ht="14.25" customHeight="1">
      <c r="L589" s="71"/>
    </row>
    <row r="590" ht="14.25" customHeight="1">
      <c r="L590" s="71"/>
    </row>
    <row r="591" ht="14.25" customHeight="1">
      <c r="L591" s="71"/>
    </row>
    <row r="592" ht="14.25" customHeight="1">
      <c r="L592" s="71"/>
    </row>
    <row r="593" ht="14.25" customHeight="1">
      <c r="L593" s="71"/>
    </row>
    <row r="594" ht="14.25" customHeight="1">
      <c r="L594" s="71"/>
    </row>
    <row r="595" ht="14.25" customHeight="1">
      <c r="L595" s="71"/>
    </row>
    <row r="596" ht="14.25" customHeight="1">
      <c r="L596" s="71"/>
    </row>
    <row r="597" ht="14.25" customHeight="1">
      <c r="L597" s="71"/>
    </row>
    <row r="598" ht="14.25" customHeight="1">
      <c r="L598" s="71"/>
    </row>
    <row r="599" ht="14.25" customHeight="1">
      <c r="L599" s="71"/>
    </row>
    <row r="600" ht="14.25" customHeight="1">
      <c r="L600" s="71"/>
    </row>
    <row r="601" ht="14.25" customHeight="1">
      <c r="L601" s="71"/>
    </row>
    <row r="602" ht="14.25" customHeight="1">
      <c r="L602" s="71"/>
    </row>
    <row r="603" ht="14.25" customHeight="1">
      <c r="L603" s="71"/>
    </row>
    <row r="604" ht="14.25" customHeight="1">
      <c r="L604" s="71"/>
    </row>
    <row r="605" ht="14.25" customHeight="1">
      <c r="L605" s="71"/>
    </row>
    <row r="606" ht="14.25" customHeight="1">
      <c r="L606" s="71"/>
    </row>
    <row r="607" ht="14.25" customHeight="1">
      <c r="L607" s="71"/>
    </row>
    <row r="608" ht="14.25" customHeight="1">
      <c r="L608" s="71"/>
    </row>
    <row r="609" ht="14.25" customHeight="1">
      <c r="L609" s="71"/>
    </row>
    <row r="610" ht="14.25" customHeight="1">
      <c r="L610" s="71"/>
    </row>
    <row r="611" ht="14.25" customHeight="1">
      <c r="L611" s="71"/>
    </row>
    <row r="612" ht="14.25" customHeight="1">
      <c r="L612" s="71"/>
    </row>
    <row r="613" ht="14.25" customHeight="1">
      <c r="L613" s="71"/>
    </row>
    <row r="614" ht="14.25" customHeight="1">
      <c r="L614" s="71"/>
    </row>
    <row r="615" ht="14.25" customHeight="1">
      <c r="L615" s="71"/>
    </row>
    <row r="616" ht="14.25" customHeight="1">
      <c r="L616" s="71"/>
    </row>
    <row r="617" ht="14.25" customHeight="1">
      <c r="L617" s="71"/>
    </row>
    <row r="618" ht="14.25" customHeight="1">
      <c r="L618" s="71"/>
    </row>
    <row r="619" ht="14.25" customHeight="1">
      <c r="L619" s="71"/>
    </row>
    <row r="620" ht="14.25" customHeight="1">
      <c r="L620" s="71"/>
    </row>
    <row r="621" ht="14.25" customHeight="1">
      <c r="L621" s="71"/>
    </row>
    <row r="622" ht="14.25" customHeight="1">
      <c r="L622" s="71"/>
    </row>
    <row r="623" ht="14.25" customHeight="1">
      <c r="L623" s="71"/>
    </row>
    <row r="624" ht="14.25" customHeight="1">
      <c r="L624" s="71"/>
    </row>
    <row r="625" ht="14.25" customHeight="1">
      <c r="L625" s="71"/>
    </row>
    <row r="626" ht="14.25" customHeight="1">
      <c r="L626" s="71"/>
    </row>
    <row r="627" ht="14.25" customHeight="1">
      <c r="L627" s="71"/>
    </row>
    <row r="628" ht="14.25" customHeight="1">
      <c r="L628" s="71"/>
    </row>
    <row r="629" ht="14.25" customHeight="1">
      <c r="L629" s="71"/>
    </row>
    <row r="630" ht="14.25" customHeight="1">
      <c r="L630" s="71"/>
    </row>
    <row r="631" ht="14.25" customHeight="1">
      <c r="L631" s="71"/>
    </row>
    <row r="632" ht="14.25" customHeight="1">
      <c r="L632" s="71"/>
    </row>
    <row r="633" ht="14.25" customHeight="1">
      <c r="L633" s="71"/>
    </row>
    <row r="634" ht="14.25" customHeight="1">
      <c r="L634" s="71"/>
    </row>
    <row r="635" ht="14.25" customHeight="1">
      <c r="L635" s="71"/>
    </row>
    <row r="636" ht="14.25" customHeight="1">
      <c r="L636" s="71"/>
    </row>
    <row r="637" ht="14.25" customHeight="1">
      <c r="L637" s="71"/>
    </row>
    <row r="638" ht="14.25" customHeight="1">
      <c r="L638" s="71"/>
    </row>
    <row r="639" ht="14.25" customHeight="1">
      <c r="L639" s="71"/>
    </row>
    <row r="640" ht="14.25" customHeight="1">
      <c r="L640" s="71"/>
    </row>
    <row r="641" ht="14.25" customHeight="1">
      <c r="L641" s="71"/>
    </row>
    <row r="642" ht="14.25" customHeight="1">
      <c r="L642" s="71"/>
    </row>
    <row r="643" ht="14.25" customHeight="1">
      <c r="L643" s="71"/>
    </row>
    <row r="644" ht="14.25" customHeight="1">
      <c r="L644" s="71"/>
    </row>
    <row r="645" ht="14.25" customHeight="1">
      <c r="L645" s="71"/>
    </row>
    <row r="646" ht="14.25" customHeight="1">
      <c r="L646" s="71"/>
    </row>
    <row r="647" ht="14.25" customHeight="1">
      <c r="L647" s="71"/>
    </row>
    <row r="648" ht="14.25" customHeight="1">
      <c r="L648" s="71"/>
    </row>
    <row r="649" ht="14.25" customHeight="1">
      <c r="L649" s="71"/>
    </row>
    <row r="650" ht="14.25" customHeight="1">
      <c r="L650" s="71"/>
    </row>
    <row r="651" ht="14.25" customHeight="1">
      <c r="L651" s="71"/>
    </row>
    <row r="652" ht="14.25" customHeight="1">
      <c r="L652" s="71"/>
    </row>
    <row r="653" ht="14.25" customHeight="1">
      <c r="L653" s="71"/>
    </row>
    <row r="654" ht="14.25" customHeight="1">
      <c r="L654" s="71"/>
    </row>
    <row r="655" ht="14.25" customHeight="1">
      <c r="L655" s="71"/>
    </row>
    <row r="656" ht="14.25" customHeight="1">
      <c r="L656" s="71"/>
    </row>
    <row r="657" ht="14.25" customHeight="1">
      <c r="L657" s="71"/>
    </row>
    <row r="658" ht="14.25" customHeight="1">
      <c r="L658" s="71"/>
    </row>
    <row r="659" ht="14.25" customHeight="1">
      <c r="L659" s="71"/>
    </row>
    <row r="660" ht="14.25" customHeight="1">
      <c r="L660" s="71"/>
    </row>
    <row r="661" ht="14.25" customHeight="1">
      <c r="L661" s="71"/>
    </row>
    <row r="662" ht="14.25" customHeight="1">
      <c r="L662" s="71"/>
    </row>
    <row r="663" ht="14.25" customHeight="1">
      <c r="L663" s="71"/>
    </row>
    <row r="664" ht="14.25" customHeight="1">
      <c r="L664" s="71"/>
    </row>
    <row r="665" ht="14.25" customHeight="1">
      <c r="L665" s="71"/>
    </row>
    <row r="666" ht="14.25" customHeight="1">
      <c r="L666" s="71"/>
    </row>
    <row r="667" ht="14.25" customHeight="1">
      <c r="L667" s="71"/>
    </row>
    <row r="668" ht="14.25" customHeight="1">
      <c r="L668" s="71"/>
    </row>
    <row r="669" ht="14.25" customHeight="1">
      <c r="L669" s="71"/>
    </row>
    <row r="670" ht="14.25" customHeight="1">
      <c r="L670" s="71"/>
    </row>
    <row r="671" ht="14.25" customHeight="1">
      <c r="L671" s="71"/>
    </row>
    <row r="672" ht="14.25" customHeight="1">
      <c r="L672" s="71"/>
    </row>
    <row r="673" ht="14.25" customHeight="1">
      <c r="L673" s="71"/>
    </row>
    <row r="674" ht="14.25" customHeight="1">
      <c r="L674" s="71"/>
    </row>
    <row r="675" ht="14.25" customHeight="1">
      <c r="L675" s="71"/>
    </row>
    <row r="676" ht="14.25" customHeight="1">
      <c r="L676" s="71"/>
    </row>
    <row r="677" ht="14.25" customHeight="1">
      <c r="L677" s="71"/>
    </row>
    <row r="678" ht="14.25" customHeight="1">
      <c r="L678" s="71"/>
    </row>
    <row r="679" ht="14.25" customHeight="1">
      <c r="L679" s="71"/>
    </row>
    <row r="680" ht="14.25" customHeight="1">
      <c r="L680" s="71"/>
    </row>
    <row r="681" ht="14.25" customHeight="1">
      <c r="L681" s="71"/>
    </row>
    <row r="682" ht="14.25" customHeight="1">
      <c r="L682" s="71"/>
    </row>
    <row r="683" ht="14.25" customHeight="1">
      <c r="L683" s="71"/>
    </row>
    <row r="684" ht="14.25" customHeight="1">
      <c r="L684" s="71"/>
    </row>
    <row r="685" ht="14.25" customHeight="1">
      <c r="L685" s="71"/>
    </row>
    <row r="686" ht="14.25" customHeight="1">
      <c r="L686" s="71"/>
    </row>
    <row r="687" ht="14.25" customHeight="1">
      <c r="L687" s="71"/>
    </row>
    <row r="688" ht="14.25" customHeight="1">
      <c r="L688" s="71"/>
    </row>
    <row r="689" ht="14.25" customHeight="1">
      <c r="L689" s="71"/>
    </row>
    <row r="690" ht="14.25" customHeight="1">
      <c r="L690" s="71"/>
    </row>
    <row r="691" ht="14.25" customHeight="1">
      <c r="L691" s="71"/>
    </row>
    <row r="692" ht="14.25" customHeight="1">
      <c r="L692" s="71"/>
    </row>
    <row r="693" ht="14.25" customHeight="1">
      <c r="L693" s="71"/>
    </row>
    <row r="694" ht="14.25" customHeight="1">
      <c r="L694" s="71"/>
    </row>
    <row r="695" ht="14.25" customHeight="1">
      <c r="L695" s="71"/>
    </row>
    <row r="696" ht="14.25" customHeight="1">
      <c r="L696" s="71"/>
    </row>
    <row r="697" ht="14.25" customHeight="1">
      <c r="L697" s="71"/>
    </row>
    <row r="698" ht="14.25" customHeight="1">
      <c r="L698" s="71"/>
    </row>
    <row r="699" ht="14.25" customHeight="1">
      <c r="L699" s="71"/>
    </row>
    <row r="700" ht="14.25" customHeight="1">
      <c r="L700" s="71"/>
    </row>
    <row r="701" ht="14.25" customHeight="1">
      <c r="L701" s="71"/>
    </row>
    <row r="702" ht="14.25" customHeight="1">
      <c r="L702" s="71"/>
    </row>
    <row r="703" ht="14.25" customHeight="1">
      <c r="L703" s="71"/>
    </row>
    <row r="704" ht="14.25" customHeight="1">
      <c r="L704" s="71"/>
    </row>
    <row r="705" ht="14.25" customHeight="1">
      <c r="L705" s="71"/>
    </row>
    <row r="706" ht="14.25" customHeight="1">
      <c r="L706" s="71"/>
    </row>
    <row r="707" ht="14.25" customHeight="1">
      <c r="L707" s="71"/>
    </row>
    <row r="708" ht="14.25" customHeight="1">
      <c r="L708" s="71"/>
    </row>
    <row r="709" ht="14.25" customHeight="1">
      <c r="L709" s="71"/>
    </row>
    <row r="710" ht="14.25" customHeight="1">
      <c r="L710" s="71"/>
    </row>
    <row r="711" ht="14.25" customHeight="1">
      <c r="L711" s="71"/>
    </row>
    <row r="712" ht="14.25" customHeight="1">
      <c r="L712" s="71"/>
    </row>
    <row r="713" ht="14.25" customHeight="1">
      <c r="L713" s="71"/>
    </row>
    <row r="714" ht="14.25" customHeight="1">
      <c r="L714" s="71"/>
    </row>
    <row r="715" ht="14.25" customHeight="1">
      <c r="L715" s="71"/>
    </row>
    <row r="716" ht="14.25" customHeight="1">
      <c r="L716" s="71"/>
    </row>
    <row r="717" ht="14.25" customHeight="1">
      <c r="L717" s="71"/>
    </row>
    <row r="718" ht="14.25" customHeight="1">
      <c r="L718" s="71"/>
    </row>
    <row r="719" ht="14.25" customHeight="1">
      <c r="L719" s="71"/>
    </row>
    <row r="720" ht="14.25" customHeight="1">
      <c r="L720" s="71"/>
    </row>
    <row r="721" ht="14.25" customHeight="1">
      <c r="L721" s="71"/>
    </row>
    <row r="722" ht="14.25" customHeight="1">
      <c r="L722" s="71"/>
    </row>
    <row r="723" ht="14.25" customHeight="1">
      <c r="L723" s="71"/>
    </row>
    <row r="724" ht="14.25" customHeight="1">
      <c r="L724" s="71"/>
    </row>
    <row r="725" ht="14.25" customHeight="1">
      <c r="L725" s="71"/>
    </row>
    <row r="726" ht="14.25" customHeight="1">
      <c r="L726" s="71"/>
    </row>
    <row r="727" ht="14.25" customHeight="1">
      <c r="L727" s="71"/>
    </row>
    <row r="728" ht="14.25" customHeight="1">
      <c r="L728" s="71"/>
    </row>
    <row r="729" ht="14.25" customHeight="1">
      <c r="L729" s="71"/>
    </row>
    <row r="730" ht="14.25" customHeight="1">
      <c r="L730" s="71"/>
    </row>
    <row r="731" ht="14.25" customHeight="1">
      <c r="L731" s="71"/>
    </row>
    <row r="732" ht="14.25" customHeight="1">
      <c r="L732" s="71"/>
    </row>
    <row r="733" ht="14.25" customHeight="1">
      <c r="L733" s="71"/>
    </row>
    <row r="734" ht="14.25" customHeight="1">
      <c r="L734" s="71"/>
    </row>
    <row r="735" ht="14.25" customHeight="1">
      <c r="L735" s="71"/>
    </row>
    <row r="736" ht="14.25" customHeight="1">
      <c r="L736" s="71"/>
    </row>
    <row r="737" ht="14.25" customHeight="1">
      <c r="L737" s="71"/>
    </row>
    <row r="738" ht="14.25" customHeight="1">
      <c r="L738" s="71"/>
    </row>
    <row r="739" ht="14.25" customHeight="1">
      <c r="L739" s="71"/>
    </row>
    <row r="740" ht="14.25" customHeight="1">
      <c r="L740" s="71"/>
    </row>
    <row r="741" ht="14.25" customHeight="1">
      <c r="L741" s="71"/>
    </row>
    <row r="742" ht="14.25" customHeight="1">
      <c r="L742" s="71"/>
    </row>
    <row r="743" ht="14.25" customHeight="1">
      <c r="L743" s="71"/>
    </row>
    <row r="744" ht="14.25" customHeight="1">
      <c r="L744" s="71"/>
    </row>
    <row r="745" ht="14.25" customHeight="1">
      <c r="L745" s="71"/>
    </row>
    <row r="746" ht="14.25" customHeight="1">
      <c r="L746" s="71"/>
    </row>
    <row r="747" ht="14.25" customHeight="1">
      <c r="L747" s="71"/>
    </row>
    <row r="748" ht="14.25" customHeight="1">
      <c r="L748" s="71"/>
    </row>
    <row r="749" ht="14.25" customHeight="1">
      <c r="L749" s="71"/>
    </row>
    <row r="750" ht="14.25" customHeight="1">
      <c r="L750" s="71"/>
    </row>
    <row r="751" ht="14.25" customHeight="1">
      <c r="L751" s="71"/>
    </row>
    <row r="752" ht="14.25" customHeight="1">
      <c r="L752" s="71"/>
    </row>
    <row r="753" ht="14.25" customHeight="1">
      <c r="L753" s="71"/>
    </row>
    <row r="754" ht="14.25" customHeight="1">
      <c r="L754" s="71"/>
    </row>
    <row r="755" ht="14.25" customHeight="1">
      <c r="L755" s="71"/>
    </row>
    <row r="756" ht="14.25" customHeight="1">
      <c r="L756" s="71"/>
    </row>
    <row r="757" ht="14.25" customHeight="1">
      <c r="L757" s="71"/>
    </row>
    <row r="758" ht="14.25" customHeight="1">
      <c r="L758" s="71"/>
    </row>
    <row r="759" ht="14.25" customHeight="1">
      <c r="L759" s="71"/>
    </row>
    <row r="760" ht="14.25" customHeight="1">
      <c r="L760" s="71"/>
    </row>
    <row r="761" ht="14.25" customHeight="1">
      <c r="L761" s="71"/>
    </row>
    <row r="762" ht="14.25" customHeight="1">
      <c r="L762" s="71"/>
    </row>
    <row r="763" ht="14.25" customHeight="1">
      <c r="L763" s="71"/>
    </row>
    <row r="764" ht="14.25" customHeight="1">
      <c r="L764" s="71"/>
    </row>
    <row r="765" ht="14.25" customHeight="1">
      <c r="L765" s="71"/>
    </row>
    <row r="766" ht="14.25" customHeight="1">
      <c r="L766" s="71"/>
    </row>
    <row r="767" ht="14.25" customHeight="1">
      <c r="L767" s="71"/>
    </row>
    <row r="768" ht="14.25" customHeight="1">
      <c r="L768" s="71"/>
    </row>
    <row r="769" ht="14.25" customHeight="1">
      <c r="L769" s="71"/>
    </row>
    <row r="770" ht="14.25" customHeight="1">
      <c r="L770" s="71"/>
    </row>
    <row r="771" ht="14.25" customHeight="1">
      <c r="L771" s="71"/>
    </row>
    <row r="772" ht="14.25" customHeight="1">
      <c r="L772" s="71"/>
    </row>
    <row r="773" ht="14.25" customHeight="1">
      <c r="L773" s="71"/>
    </row>
    <row r="774" ht="14.25" customHeight="1">
      <c r="L774" s="71"/>
    </row>
    <row r="775" ht="14.25" customHeight="1">
      <c r="L775" s="71"/>
    </row>
    <row r="776" ht="14.25" customHeight="1">
      <c r="L776" s="71"/>
    </row>
    <row r="777" ht="14.25" customHeight="1">
      <c r="L777" s="71"/>
    </row>
    <row r="778" ht="14.25" customHeight="1">
      <c r="L778" s="71"/>
    </row>
    <row r="779" ht="14.25" customHeight="1">
      <c r="L779" s="71"/>
    </row>
    <row r="780" ht="14.25" customHeight="1">
      <c r="L780" s="71"/>
    </row>
    <row r="781" ht="14.25" customHeight="1">
      <c r="L781" s="71"/>
    </row>
    <row r="782" ht="14.25" customHeight="1">
      <c r="L782" s="71"/>
    </row>
    <row r="783" ht="14.25" customHeight="1">
      <c r="L783" s="71"/>
    </row>
    <row r="784" ht="14.25" customHeight="1">
      <c r="L784" s="71"/>
    </row>
    <row r="785" ht="14.25" customHeight="1">
      <c r="L785" s="71"/>
    </row>
    <row r="786" ht="14.25" customHeight="1">
      <c r="L786" s="71"/>
    </row>
    <row r="787" ht="14.25" customHeight="1">
      <c r="L787" s="71"/>
    </row>
    <row r="788" ht="14.25" customHeight="1">
      <c r="L788" s="71"/>
    </row>
    <row r="789" ht="14.25" customHeight="1">
      <c r="L789" s="71"/>
    </row>
    <row r="790" ht="14.25" customHeight="1">
      <c r="L790" s="71"/>
    </row>
    <row r="791" ht="14.25" customHeight="1">
      <c r="L791" s="71"/>
    </row>
    <row r="792" ht="14.25" customHeight="1">
      <c r="L792" s="71"/>
    </row>
    <row r="793" ht="14.25" customHeight="1">
      <c r="L793" s="71"/>
    </row>
    <row r="794" ht="14.25" customHeight="1">
      <c r="L794" s="71"/>
    </row>
    <row r="795" ht="14.25" customHeight="1">
      <c r="L795" s="71"/>
    </row>
    <row r="796" ht="14.25" customHeight="1">
      <c r="L796" s="71"/>
    </row>
    <row r="797" ht="14.25" customHeight="1">
      <c r="L797" s="71"/>
    </row>
    <row r="798" ht="14.25" customHeight="1">
      <c r="L798" s="71"/>
    </row>
    <row r="799" ht="14.25" customHeight="1">
      <c r="L799" s="71"/>
    </row>
    <row r="800" ht="14.25" customHeight="1">
      <c r="L800" s="71"/>
    </row>
    <row r="801" ht="14.25" customHeight="1">
      <c r="L801" s="71"/>
    </row>
    <row r="802" ht="14.25" customHeight="1">
      <c r="L802" s="71"/>
    </row>
    <row r="803" ht="14.25" customHeight="1">
      <c r="L803" s="71"/>
    </row>
    <row r="804" ht="14.25" customHeight="1">
      <c r="L804" s="71"/>
    </row>
    <row r="805" ht="14.25" customHeight="1">
      <c r="L805" s="71"/>
    </row>
    <row r="806" ht="14.25" customHeight="1">
      <c r="L806" s="71"/>
    </row>
    <row r="807" ht="14.25" customHeight="1">
      <c r="L807" s="71"/>
    </row>
    <row r="808" ht="14.25" customHeight="1">
      <c r="L808" s="71"/>
    </row>
    <row r="809" ht="14.25" customHeight="1">
      <c r="L809" s="71"/>
    </row>
    <row r="810" ht="14.25" customHeight="1">
      <c r="L810" s="71"/>
    </row>
    <row r="811" ht="14.25" customHeight="1">
      <c r="L811" s="71"/>
    </row>
    <row r="812" ht="14.25" customHeight="1">
      <c r="L812" s="71"/>
    </row>
    <row r="813" ht="14.25" customHeight="1">
      <c r="L813" s="71"/>
    </row>
    <row r="814" ht="14.25" customHeight="1">
      <c r="L814" s="71"/>
    </row>
    <row r="815" ht="14.25" customHeight="1">
      <c r="L815" s="71"/>
    </row>
    <row r="816" ht="14.25" customHeight="1">
      <c r="L816" s="71"/>
    </row>
    <row r="817" ht="14.25" customHeight="1">
      <c r="L817" s="71"/>
    </row>
    <row r="818" ht="14.25" customHeight="1">
      <c r="L818" s="71"/>
    </row>
    <row r="819" ht="14.25" customHeight="1">
      <c r="L819" s="71"/>
    </row>
    <row r="820" ht="14.25" customHeight="1">
      <c r="L820" s="71"/>
    </row>
    <row r="821" ht="14.25" customHeight="1">
      <c r="L821" s="71"/>
    </row>
    <row r="822" ht="14.25" customHeight="1">
      <c r="L822" s="71"/>
    </row>
    <row r="823" ht="14.25" customHeight="1">
      <c r="L823" s="71"/>
    </row>
    <row r="824" ht="14.25" customHeight="1">
      <c r="L824" s="71"/>
    </row>
    <row r="825" ht="14.25" customHeight="1">
      <c r="L825" s="71"/>
    </row>
    <row r="826" ht="14.25" customHeight="1">
      <c r="L826" s="71"/>
    </row>
    <row r="827" ht="14.25" customHeight="1">
      <c r="L827" s="71"/>
    </row>
    <row r="828" ht="14.25" customHeight="1">
      <c r="L828" s="71"/>
    </row>
    <row r="829" ht="14.25" customHeight="1">
      <c r="L829" s="71"/>
    </row>
    <row r="830" ht="14.25" customHeight="1">
      <c r="L830" s="71"/>
    </row>
    <row r="831" ht="14.25" customHeight="1">
      <c r="L831" s="71"/>
    </row>
    <row r="832" ht="14.25" customHeight="1">
      <c r="L832" s="71"/>
    </row>
    <row r="833" ht="14.25" customHeight="1">
      <c r="L833" s="71"/>
    </row>
    <row r="834" ht="14.25" customHeight="1">
      <c r="L834" s="71"/>
    </row>
    <row r="835" ht="14.25" customHeight="1">
      <c r="L835" s="71"/>
    </row>
    <row r="836" ht="14.25" customHeight="1">
      <c r="L836" s="71"/>
    </row>
    <row r="837" ht="14.25" customHeight="1">
      <c r="L837" s="71"/>
    </row>
    <row r="838" ht="14.25" customHeight="1">
      <c r="L838" s="71"/>
    </row>
    <row r="839" ht="14.25" customHeight="1">
      <c r="L839" s="71"/>
    </row>
    <row r="840" ht="14.25" customHeight="1">
      <c r="L840" s="71"/>
    </row>
    <row r="841" ht="14.25" customHeight="1">
      <c r="L841" s="71"/>
    </row>
    <row r="842" ht="14.25" customHeight="1">
      <c r="L842" s="71"/>
    </row>
    <row r="843" ht="14.25" customHeight="1">
      <c r="L843" s="71"/>
    </row>
    <row r="844" ht="14.25" customHeight="1">
      <c r="L844" s="71"/>
    </row>
    <row r="845" ht="14.25" customHeight="1">
      <c r="L845" s="71"/>
    </row>
    <row r="846" ht="14.25" customHeight="1">
      <c r="L846" s="71"/>
    </row>
    <row r="847" ht="14.25" customHeight="1">
      <c r="L847" s="71"/>
    </row>
    <row r="848" ht="14.25" customHeight="1">
      <c r="L848" s="71"/>
    </row>
    <row r="849" ht="14.25" customHeight="1">
      <c r="L849" s="71"/>
    </row>
    <row r="850" ht="14.25" customHeight="1">
      <c r="L850" s="71"/>
    </row>
    <row r="851" ht="14.25" customHeight="1">
      <c r="L851" s="71"/>
    </row>
    <row r="852" ht="14.25" customHeight="1">
      <c r="L852" s="71"/>
    </row>
    <row r="853" ht="14.25" customHeight="1">
      <c r="L853" s="71"/>
    </row>
    <row r="854" ht="14.25" customHeight="1">
      <c r="L854" s="71"/>
    </row>
    <row r="855" ht="14.25" customHeight="1">
      <c r="L855" s="71"/>
    </row>
    <row r="856" ht="14.25" customHeight="1">
      <c r="L856" s="71"/>
    </row>
    <row r="857" ht="14.25" customHeight="1">
      <c r="L857" s="71"/>
    </row>
    <row r="858" ht="14.25" customHeight="1">
      <c r="L858" s="71"/>
    </row>
    <row r="859" ht="14.25" customHeight="1">
      <c r="L859" s="71"/>
    </row>
    <row r="860" ht="14.25" customHeight="1">
      <c r="L860" s="71"/>
    </row>
    <row r="861" ht="14.25" customHeight="1">
      <c r="L861" s="71"/>
    </row>
    <row r="862" ht="14.25" customHeight="1">
      <c r="L862" s="71"/>
    </row>
    <row r="863" ht="14.25" customHeight="1">
      <c r="L863" s="71"/>
    </row>
    <row r="864" ht="14.25" customHeight="1">
      <c r="L864" s="71"/>
    </row>
    <row r="865" ht="14.25" customHeight="1">
      <c r="L865" s="71"/>
    </row>
    <row r="866" ht="14.25" customHeight="1">
      <c r="L866" s="71"/>
    </row>
    <row r="867" ht="14.25" customHeight="1">
      <c r="L867" s="71"/>
    </row>
    <row r="868" ht="14.25" customHeight="1">
      <c r="L868" s="71"/>
    </row>
    <row r="869" ht="14.25" customHeight="1">
      <c r="L869" s="71"/>
    </row>
    <row r="870" ht="14.25" customHeight="1">
      <c r="L870" s="71"/>
    </row>
    <row r="871" ht="14.25" customHeight="1">
      <c r="L871" s="71"/>
    </row>
    <row r="872" ht="14.25" customHeight="1">
      <c r="L872" s="71"/>
    </row>
    <row r="873" ht="14.25" customHeight="1">
      <c r="L873" s="71"/>
    </row>
    <row r="874" ht="14.25" customHeight="1">
      <c r="L874" s="71"/>
    </row>
    <row r="875" ht="14.25" customHeight="1">
      <c r="L875" s="71"/>
    </row>
    <row r="876" ht="14.25" customHeight="1">
      <c r="L876" s="71"/>
    </row>
    <row r="877" ht="14.25" customHeight="1">
      <c r="L877" s="71"/>
    </row>
    <row r="878" ht="14.25" customHeight="1">
      <c r="L878" s="71"/>
    </row>
    <row r="879" ht="14.25" customHeight="1">
      <c r="L879" s="71"/>
    </row>
    <row r="880" ht="14.25" customHeight="1">
      <c r="L880" s="71"/>
    </row>
    <row r="881" ht="14.25" customHeight="1">
      <c r="L881" s="71"/>
    </row>
    <row r="882" ht="14.25" customHeight="1">
      <c r="L882" s="71"/>
    </row>
    <row r="883" ht="14.25" customHeight="1">
      <c r="L883" s="71"/>
    </row>
    <row r="884" ht="14.25" customHeight="1">
      <c r="L884" s="71"/>
    </row>
    <row r="885" ht="14.25" customHeight="1">
      <c r="L885" s="71"/>
    </row>
    <row r="886" ht="14.25" customHeight="1">
      <c r="L886" s="71"/>
    </row>
    <row r="887" ht="14.25" customHeight="1">
      <c r="L887" s="71"/>
    </row>
    <row r="888" ht="14.25" customHeight="1">
      <c r="L888" s="71"/>
    </row>
    <row r="889" ht="14.25" customHeight="1">
      <c r="L889" s="71"/>
    </row>
    <row r="890" ht="14.25" customHeight="1">
      <c r="L890" s="71"/>
    </row>
    <row r="891" ht="14.25" customHeight="1">
      <c r="L891" s="71"/>
    </row>
    <row r="892" ht="14.25" customHeight="1">
      <c r="L892" s="71"/>
    </row>
    <row r="893" ht="14.25" customHeight="1">
      <c r="L893" s="71"/>
    </row>
    <row r="894" ht="14.25" customHeight="1">
      <c r="L894" s="71"/>
    </row>
    <row r="895" ht="14.25" customHeight="1">
      <c r="L895" s="71"/>
    </row>
    <row r="896" ht="14.25" customHeight="1">
      <c r="L896" s="71"/>
    </row>
    <row r="897" ht="14.25" customHeight="1">
      <c r="L897" s="71"/>
    </row>
    <row r="898" ht="14.25" customHeight="1">
      <c r="L898" s="71"/>
    </row>
    <row r="899" ht="14.25" customHeight="1">
      <c r="L899" s="71"/>
    </row>
    <row r="900" ht="14.25" customHeight="1">
      <c r="L900" s="71"/>
    </row>
    <row r="901" ht="14.25" customHeight="1">
      <c r="L901" s="71"/>
    </row>
    <row r="902" ht="14.25" customHeight="1">
      <c r="L902" s="71"/>
    </row>
    <row r="903" ht="14.25" customHeight="1">
      <c r="L903" s="71"/>
    </row>
    <row r="904" ht="14.25" customHeight="1">
      <c r="L904" s="71"/>
    </row>
    <row r="905" ht="14.25" customHeight="1">
      <c r="L905" s="71"/>
    </row>
    <row r="906" ht="14.25" customHeight="1">
      <c r="L906" s="71"/>
    </row>
    <row r="907" ht="14.25" customHeight="1">
      <c r="L907" s="71"/>
    </row>
    <row r="908" ht="14.25" customHeight="1">
      <c r="L908" s="71"/>
    </row>
    <row r="909" ht="14.25" customHeight="1">
      <c r="L909" s="71"/>
    </row>
    <row r="910" ht="14.25" customHeight="1">
      <c r="L910" s="71"/>
    </row>
    <row r="911" ht="14.25" customHeight="1">
      <c r="L911" s="71"/>
    </row>
    <row r="912" ht="14.25" customHeight="1">
      <c r="L912" s="71"/>
    </row>
    <row r="913" ht="14.25" customHeight="1">
      <c r="L913" s="71"/>
    </row>
    <row r="914" ht="14.25" customHeight="1">
      <c r="L914" s="71"/>
    </row>
    <row r="915" ht="14.25" customHeight="1">
      <c r="L915" s="71"/>
    </row>
    <row r="916" ht="14.25" customHeight="1">
      <c r="L916" s="71"/>
    </row>
    <row r="917" ht="14.25" customHeight="1">
      <c r="L917" s="71"/>
    </row>
    <row r="918" ht="14.25" customHeight="1">
      <c r="L918" s="71"/>
    </row>
    <row r="919" ht="14.25" customHeight="1">
      <c r="L919" s="71"/>
    </row>
    <row r="920" ht="14.25" customHeight="1">
      <c r="L920" s="71"/>
    </row>
    <row r="921" ht="14.25" customHeight="1">
      <c r="L921" s="71"/>
    </row>
    <row r="922" ht="14.25" customHeight="1">
      <c r="L922" s="71"/>
    </row>
    <row r="923" ht="14.25" customHeight="1">
      <c r="L923" s="71"/>
    </row>
    <row r="924" ht="14.25" customHeight="1">
      <c r="L924" s="71"/>
    </row>
    <row r="925" ht="14.25" customHeight="1">
      <c r="L925" s="71"/>
    </row>
    <row r="926" ht="14.25" customHeight="1">
      <c r="L926" s="71"/>
    </row>
    <row r="927" ht="14.25" customHeight="1">
      <c r="L927" s="71"/>
    </row>
    <row r="928" ht="14.25" customHeight="1">
      <c r="L928" s="71"/>
    </row>
    <row r="929" ht="14.25" customHeight="1">
      <c r="L929" s="71"/>
    </row>
    <row r="930" ht="14.25" customHeight="1">
      <c r="L930" s="71"/>
    </row>
    <row r="931" ht="14.25" customHeight="1">
      <c r="L931" s="71"/>
    </row>
    <row r="932" ht="14.25" customHeight="1">
      <c r="L932" s="71"/>
    </row>
    <row r="933" ht="14.25" customHeight="1">
      <c r="L933" s="71"/>
    </row>
    <row r="934" ht="14.25" customHeight="1">
      <c r="L934" s="71"/>
    </row>
    <row r="935" ht="14.25" customHeight="1">
      <c r="L935" s="71"/>
    </row>
    <row r="936" ht="14.25" customHeight="1">
      <c r="L936" s="71"/>
    </row>
    <row r="937" ht="14.25" customHeight="1">
      <c r="L937" s="71"/>
    </row>
    <row r="938" ht="14.25" customHeight="1">
      <c r="L938" s="71"/>
    </row>
    <row r="939" ht="14.25" customHeight="1">
      <c r="L939" s="71"/>
    </row>
    <row r="940" ht="14.25" customHeight="1">
      <c r="L940" s="71"/>
    </row>
    <row r="941" ht="14.25" customHeight="1">
      <c r="L941" s="71"/>
    </row>
    <row r="942" ht="14.25" customHeight="1">
      <c r="L942" s="71"/>
    </row>
    <row r="943" ht="14.25" customHeight="1">
      <c r="L943" s="71"/>
    </row>
    <row r="944" ht="14.25" customHeight="1">
      <c r="L944" s="71"/>
    </row>
    <row r="945" ht="14.25" customHeight="1">
      <c r="L945" s="71"/>
    </row>
    <row r="946" ht="14.25" customHeight="1">
      <c r="L946" s="71"/>
    </row>
    <row r="947" ht="14.25" customHeight="1">
      <c r="L947" s="71"/>
    </row>
    <row r="948" ht="14.25" customHeight="1">
      <c r="L948" s="71"/>
    </row>
    <row r="949" ht="14.25" customHeight="1">
      <c r="L949" s="71"/>
    </row>
    <row r="950" ht="14.25" customHeight="1">
      <c r="L950" s="71"/>
    </row>
    <row r="951" ht="14.25" customHeight="1">
      <c r="L951" s="71"/>
    </row>
    <row r="952" ht="14.25" customHeight="1">
      <c r="L952" s="71"/>
    </row>
    <row r="953" ht="14.25" customHeight="1">
      <c r="L953" s="71"/>
    </row>
    <row r="954" ht="14.25" customHeight="1">
      <c r="L954" s="71"/>
    </row>
    <row r="955" ht="14.25" customHeight="1">
      <c r="L955" s="71"/>
    </row>
    <row r="956" ht="14.25" customHeight="1">
      <c r="L956" s="71"/>
    </row>
    <row r="957" ht="14.25" customHeight="1">
      <c r="L957" s="71"/>
    </row>
    <row r="958" ht="14.25" customHeight="1">
      <c r="L958" s="71"/>
    </row>
    <row r="959" ht="14.25" customHeight="1">
      <c r="L959" s="71"/>
    </row>
    <row r="960" ht="14.25" customHeight="1">
      <c r="L960" s="71"/>
    </row>
    <row r="961" ht="14.25" customHeight="1">
      <c r="L961" s="71"/>
    </row>
    <row r="962" ht="14.25" customHeight="1">
      <c r="L962" s="71"/>
    </row>
    <row r="963" ht="14.25" customHeight="1">
      <c r="L963" s="71"/>
    </row>
    <row r="964" ht="14.25" customHeight="1">
      <c r="L964" s="71"/>
    </row>
    <row r="965" ht="14.25" customHeight="1">
      <c r="L965" s="71"/>
    </row>
    <row r="966" ht="14.25" customHeight="1">
      <c r="L966" s="71"/>
    </row>
    <row r="967" ht="14.25" customHeight="1">
      <c r="L967" s="71"/>
    </row>
    <row r="968" ht="14.25" customHeight="1">
      <c r="L968" s="71"/>
    </row>
    <row r="969" ht="14.25" customHeight="1">
      <c r="L969" s="71"/>
    </row>
    <row r="970" ht="14.25" customHeight="1">
      <c r="L970" s="71"/>
    </row>
    <row r="971" ht="14.25" customHeight="1">
      <c r="L971" s="71"/>
    </row>
    <row r="972" ht="14.25" customHeight="1">
      <c r="L972" s="71"/>
    </row>
    <row r="973" ht="14.25" customHeight="1">
      <c r="L973" s="71"/>
    </row>
    <row r="974" ht="14.25" customHeight="1">
      <c r="L974" s="71"/>
    </row>
    <row r="975" ht="14.25" customHeight="1">
      <c r="L975" s="71"/>
    </row>
    <row r="976" ht="14.25" customHeight="1">
      <c r="L976" s="71"/>
    </row>
    <row r="977" ht="14.25" customHeight="1">
      <c r="L977" s="71"/>
    </row>
    <row r="978" ht="14.25" customHeight="1">
      <c r="L978" s="71"/>
    </row>
    <row r="979" ht="14.25" customHeight="1">
      <c r="L979" s="71"/>
    </row>
    <row r="980" ht="14.25" customHeight="1">
      <c r="L980" s="71"/>
    </row>
    <row r="981" ht="14.25" customHeight="1">
      <c r="L981" s="71"/>
    </row>
    <row r="982" ht="14.25" customHeight="1">
      <c r="L982" s="71"/>
    </row>
    <row r="983" ht="14.25" customHeight="1">
      <c r="L983" s="71"/>
    </row>
    <row r="984" ht="14.25" customHeight="1">
      <c r="L984" s="71"/>
    </row>
    <row r="985" ht="14.25" customHeight="1">
      <c r="L985" s="71"/>
    </row>
    <row r="986" ht="14.25" customHeight="1">
      <c r="L986" s="71"/>
    </row>
    <row r="987" ht="14.25" customHeight="1">
      <c r="L987" s="71"/>
    </row>
    <row r="988" ht="14.25" customHeight="1">
      <c r="L988" s="71"/>
    </row>
    <row r="989" ht="14.25" customHeight="1">
      <c r="L989" s="71"/>
    </row>
    <row r="990" ht="14.25" customHeight="1">
      <c r="L990" s="71"/>
    </row>
    <row r="991" ht="14.25" customHeight="1">
      <c r="L991" s="71"/>
    </row>
    <row r="992" ht="14.25" customHeight="1">
      <c r="L992" s="71"/>
    </row>
    <row r="993" ht="14.25" customHeight="1">
      <c r="L993" s="71"/>
    </row>
    <row r="994" ht="14.25" customHeight="1">
      <c r="L994" s="71"/>
    </row>
    <row r="995" ht="14.25" customHeight="1">
      <c r="L995" s="71"/>
    </row>
    <row r="996" ht="14.25" customHeight="1">
      <c r="L996" s="71"/>
    </row>
    <row r="997" ht="14.25" customHeight="1">
      <c r="L997" s="71"/>
    </row>
    <row r="998" ht="14.25" customHeight="1">
      <c r="L998" s="71"/>
    </row>
    <row r="999" ht="14.25" customHeight="1">
      <c r="L999" s="71"/>
    </row>
    <row r="1000" ht="14.25" customHeight="1">
      <c r="L1000" s="71"/>
    </row>
    <row r="1001" ht="14.25" customHeight="1">
      <c r="L1001" s="71"/>
    </row>
  </sheetData>
  <mergeCells count="3">
    <mergeCell ref="J4:K4"/>
    <mergeCell ref="J5:K5"/>
    <mergeCell ref="J6:K6"/>
  </mergeCells>
  <conditionalFormatting sqref="J24:J26">
    <cfRule type="cellIs" dxfId="0" priority="1" operator="notBetween">
      <formula>#REF!</formula>
      <formula>#REF!</formula>
    </cfRule>
  </conditionalFormatting>
  <conditionalFormatting sqref="J28:J29">
    <cfRule type="cellIs" dxfId="0" priority="2" operator="notBetween">
      <formula>#REF!</formula>
      <formula>#REF!</formula>
    </cfRule>
  </conditionalFormatting>
  <conditionalFormatting sqref="J31">
    <cfRule type="cellIs" dxfId="0" priority="3" operator="notBetween">
      <formula>#REF!</formula>
      <formula>#REF!</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7.63"/>
    <col customWidth="1" min="3" max="3" width="20.0"/>
    <col customWidth="1" min="4" max="26" width="10.63"/>
  </cols>
  <sheetData>
    <row r="1" ht="14.25" customHeight="1">
      <c r="A1" s="184" t="s">
        <v>352</v>
      </c>
    </row>
    <row r="2" ht="14.25" customHeight="1"/>
    <row r="3" ht="14.25" customHeight="1"/>
    <row r="4" ht="14.25" customHeight="1">
      <c r="B4" s="208" t="s">
        <v>316</v>
      </c>
      <c r="C4" s="209">
        <v>1.0</v>
      </c>
      <c r="D4" s="209">
        <v>2.0</v>
      </c>
      <c r="E4" s="209">
        <v>3.0</v>
      </c>
      <c r="F4" s="209">
        <v>4.0</v>
      </c>
      <c r="G4" s="209">
        <v>5.0</v>
      </c>
      <c r="H4" s="209">
        <v>6.0</v>
      </c>
      <c r="I4" s="209">
        <v>7.0</v>
      </c>
      <c r="J4" s="209">
        <v>8.0</v>
      </c>
      <c r="K4" s="209">
        <v>9.0</v>
      </c>
      <c r="L4" s="210">
        <v>10.0</v>
      </c>
    </row>
    <row r="5" ht="14.25" customHeight="1">
      <c r="B5" s="211" t="s">
        <v>353</v>
      </c>
      <c r="C5" s="212">
        <v>0.05</v>
      </c>
      <c r="D5" s="212">
        <v>0.055</v>
      </c>
      <c r="E5" s="212">
        <v>0.06</v>
      </c>
      <c r="F5" s="212">
        <v>0.07</v>
      </c>
      <c r="G5" s="212">
        <v>0.08</v>
      </c>
      <c r="H5" s="212">
        <v>0.09</v>
      </c>
      <c r="I5" s="212">
        <v>0.1</v>
      </c>
      <c r="J5" s="212">
        <v>0.11</v>
      </c>
      <c r="K5" s="212">
        <v>0.12</v>
      </c>
      <c r="L5" s="212">
        <v>0.13</v>
      </c>
      <c r="O5" s="213" t="s">
        <v>354</v>
      </c>
    </row>
    <row r="6" ht="14.25" customHeight="1">
      <c r="B6" s="214" t="s">
        <v>355</v>
      </c>
      <c r="C6" s="215">
        <f t="shared" ref="C6:L6" si="1">+C5*3</f>
        <v>0.15</v>
      </c>
      <c r="D6" s="215">
        <f t="shared" si="1"/>
        <v>0.165</v>
      </c>
      <c r="E6" s="215">
        <f t="shared" si="1"/>
        <v>0.18</v>
      </c>
      <c r="F6" s="215">
        <f t="shared" si="1"/>
        <v>0.21</v>
      </c>
      <c r="G6" s="215">
        <f t="shared" si="1"/>
        <v>0.24</v>
      </c>
      <c r="H6" s="215">
        <f t="shared" si="1"/>
        <v>0.27</v>
      </c>
      <c r="I6" s="215">
        <f t="shared" si="1"/>
        <v>0.3</v>
      </c>
      <c r="J6" s="215">
        <f t="shared" si="1"/>
        <v>0.33</v>
      </c>
      <c r="K6" s="215">
        <f t="shared" si="1"/>
        <v>0.36</v>
      </c>
      <c r="L6" s="215">
        <f t="shared" si="1"/>
        <v>0.39</v>
      </c>
    </row>
    <row r="7" ht="14.25" customHeight="1">
      <c r="B7" s="68" t="s">
        <v>356</v>
      </c>
      <c r="C7" s="216">
        <f t="shared" ref="C7:L7" si="2">1/(1-C6)-1</f>
        <v>0.1764705882</v>
      </c>
      <c r="D7" s="216">
        <f t="shared" si="2"/>
        <v>0.1976047904</v>
      </c>
      <c r="E7" s="216">
        <f t="shared" si="2"/>
        <v>0.2195121951</v>
      </c>
      <c r="F7" s="216">
        <f t="shared" si="2"/>
        <v>0.2658227848</v>
      </c>
      <c r="G7" s="216">
        <f t="shared" si="2"/>
        <v>0.3157894737</v>
      </c>
      <c r="H7" s="216">
        <f t="shared" si="2"/>
        <v>0.3698630137</v>
      </c>
      <c r="I7" s="216">
        <f t="shared" si="2"/>
        <v>0.4285714286</v>
      </c>
      <c r="J7" s="216">
        <f t="shared" si="2"/>
        <v>0.4925373134</v>
      </c>
      <c r="K7" s="216">
        <f t="shared" si="2"/>
        <v>0.5625</v>
      </c>
      <c r="L7" s="216">
        <f t="shared" si="2"/>
        <v>0.6393442623</v>
      </c>
    </row>
    <row r="8" ht="14.25" customHeight="1">
      <c r="B8" s="211" t="s">
        <v>357</v>
      </c>
      <c r="C8" s="33">
        <v>0.05</v>
      </c>
      <c r="D8" s="33">
        <f t="shared" ref="D8:L8" si="3">+D5</f>
        <v>0.055</v>
      </c>
      <c r="E8" s="33">
        <f t="shared" si="3"/>
        <v>0.06</v>
      </c>
      <c r="F8" s="33">
        <f t="shared" si="3"/>
        <v>0.07</v>
      </c>
      <c r="G8" s="33">
        <f t="shared" si="3"/>
        <v>0.08</v>
      </c>
      <c r="H8" s="33">
        <f t="shared" si="3"/>
        <v>0.09</v>
      </c>
      <c r="I8" s="33">
        <f t="shared" si="3"/>
        <v>0.1</v>
      </c>
      <c r="J8" s="33">
        <f t="shared" si="3"/>
        <v>0.11</v>
      </c>
      <c r="K8" s="33">
        <f t="shared" si="3"/>
        <v>0.12</v>
      </c>
      <c r="L8" s="33">
        <f t="shared" si="3"/>
        <v>0.13</v>
      </c>
    </row>
    <row r="9" ht="14.25" customHeight="1">
      <c r="B9" s="120" t="s">
        <v>358</v>
      </c>
      <c r="C9" s="122">
        <f t="shared" ref="C9:L9" si="4">LN(1+C7)/LN(1+C8)</f>
        <v>3.330977304</v>
      </c>
      <c r="D9" s="122">
        <f t="shared" si="4"/>
        <v>3.367967336</v>
      </c>
      <c r="E9" s="122">
        <f t="shared" si="4"/>
        <v>3.405777543</v>
      </c>
      <c r="F9" s="122">
        <f t="shared" si="4"/>
        <v>3.483994121</v>
      </c>
      <c r="G9" s="122">
        <f t="shared" si="4"/>
        <v>3.565919089</v>
      </c>
      <c r="H9" s="122">
        <f t="shared" si="4"/>
        <v>3.651881619</v>
      </c>
      <c r="I9" s="122">
        <f t="shared" si="4"/>
        <v>3.742254444</v>
      </c>
      <c r="J9" s="122">
        <f t="shared" si="4"/>
        <v>3.837461746</v>
      </c>
      <c r="K9" s="122">
        <f t="shared" si="4"/>
        <v>3.937988881</v>
      </c>
      <c r="L9" s="122">
        <f t="shared" si="4"/>
        <v>4.044394502</v>
      </c>
    </row>
    <row r="10" ht="14.25" customHeight="1"/>
    <row r="11" ht="14.25" customHeight="1">
      <c r="B11" s="217" t="s">
        <v>359</v>
      </c>
      <c r="C11" s="28">
        <v>0.03</v>
      </c>
      <c r="D11" s="33">
        <v>0.033</v>
      </c>
      <c r="E11" s="33">
        <v>0.036</v>
      </c>
      <c r="F11" s="33">
        <v>0.038</v>
      </c>
      <c r="G11" s="33">
        <v>0.041</v>
      </c>
      <c r="H11" s="33">
        <v>0.044</v>
      </c>
      <c r="I11" s="33">
        <v>0.046</v>
      </c>
      <c r="J11" s="33">
        <v>0.049</v>
      </c>
      <c r="K11" s="33">
        <v>0.052</v>
      </c>
      <c r="L11" s="218">
        <v>0.056</v>
      </c>
    </row>
    <row r="12" ht="14.25" customHeight="1">
      <c r="B12" s="120" t="s">
        <v>358</v>
      </c>
      <c r="C12" s="122">
        <f t="shared" ref="C12:L12" si="5">LN(1+C7)/LN(1+C11)</f>
        <v>5.498156798</v>
      </c>
      <c r="D12" s="122">
        <f t="shared" si="5"/>
        <v>5.554024028</v>
      </c>
      <c r="E12" s="122">
        <f t="shared" si="5"/>
        <v>5.61116667</v>
      </c>
      <c r="F12" s="122">
        <f t="shared" si="5"/>
        <v>6.320347866</v>
      </c>
      <c r="G12" s="122">
        <f t="shared" si="5"/>
        <v>6.829881103</v>
      </c>
      <c r="H12" s="122">
        <f t="shared" si="5"/>
        <v>7.308743062</v>
      </c>
      <c r="I12" s="122">
        <f t="shared" si="5"/>
        <v>7.930803907</v>
      </c>
      <c r="J12" s="122">
        <f t="shared" si="5"/>
        <v>8.371653926</v>
      </c>
      <c r="K12" s="122">
        <f t="shared" si="5"/>
        <v>8.803702606</v>
      </c>
      <c r="L12" s="122">
        <f t="shared" si="5"/>
        <v>9.071623862</v>
      </c>
    </row>
    <row r="13" ht="14.25" customHeight="1"/>
    <row r="14" ht="14.25" customHeight="1">
      <c r="C14" s="82"/>
      <c r="D14" s="82"/>
      <c r="E14" s="82"/>
      <c r="F14" s="82"/>
      <c r="G14" s="82"/>
      <c r="H14" s="82"/>
      <c r="I14" s="82"/>
      <c r="J14" s="82"/>
      <c r="K14" s="82"/>
      <c r="L14" s="82"/>
    </row>
    <row r="15" ht="14.25" customHeight="1">
      <c r="J15" s="219"/>
    </row>
    <row r="16" ht="14.25" customHeight="1"/>
    <row r="17" ht="14.25" customHeight="1">
      <c r="B17" s="220" t="s">
        <v>360</v>
      </c>
    </row>
    <row r="18" ht="14.25" customHeight="1">
      <c r="B18" s="79" t="s">
        <v>85</v>
      </c>
      <c r="C18" s="159">
        <v>0.1</v>
      </c>
      <c r="D18" s="159">
        <v>0.15</v>
      </c>
      <c r="E18" s="159">
        <v>0.25</v>
      </c>
      <c r="F18" s="159">
        <v>0.35</v>
      </c>
      <c r="G18" s="159">
        <v>0.45</v>
      </c>
      <c r="H18" s="159">
        <v>0.55</v>
      </c>
      <c r="I18" s="159">
        <v>0.65</v>
      </c>
      <c r="J18" s="159">
        <v>0.7</v>
      </c>
      <c r="K18" s="159">
        <v>0.74</v>
      </c>
      <c r="L18" s="159">
        <v>0.8</v>
      </c>
      <c r="O18" s="213" t="s">
        <v>361</v>
      </c>
    </row>
    <row r="19" ht="14.25" customHeight="1">
      <c r="B19" s="133" t="s">
        <v>331</v>
      </c>
      <c r="C19" s="135">
        <v>0.75</v>
      </c>
      <c r="D19" s="135">
        <v>0.7</v>
      </c>
      <c r="E19" s="135">
        <v>0.6</v>
      </c>
      <c r="F19" s="135">
        <v>0.5</v>
      </c>
      <c r="G19" s="135">
        <v>0.35</v>
      </c>
      <c r="H19" s="135">
        <v>0.25</v>
      </c>
      <c r="I19" s="135">
        <v>0.15</v>
      </c>
      <c r="J19" s="135">
        <v>0.1</v>
      </c>
      <c r="K19" s="135">
        <v>0.06</v>
      </c>
      <c r="L19" s="221">
        <v>0.0</v>
      </c>
    </row>
    <row r="20" ht="14.25" customHeight="1">
      <c r="B20" s="68" t="s">
        <v>337</v>
      </c>
      <c r="C20" s="216">
        <v>0.15</v>
      </c>
      <c r="D20" s="216">
        <v>0.15</v>
      </c>
      <c r="E20" s="216">
        <v>0.15</v>
      </c>
      <c r="F20" s="216">
        <v>0.15</v>
      </c>
      <c r="G20" s="216">
        <v>0.2</v>
      </c>
      <c r="H20" s="216">
        <v>0.2</v>
      </c>
      <c r="I20" s="216">
        <v>0.2</v>
      </c>
      <c r="J20" s="216">
        <v>0.2</v>
      </c>
      <c r="K20" s="216">
        <v>0.2</v>
      </c>
      <c r="L20" s="222">
        <v>0.2</v>
      </c>
    </row>
    <row r="21" ht="14.25" customHeight="1">
      <c r="B21" s="223" t="s">
        <v>340</v>
      </c>
      <c r="C21" s="224">
        <f t="shared" ref="C21:L21" si="6">SUM(C18:C20)</f>
        <v>1</v>
      </c>
      <c r="D21" s="224">
        <f t="shared" si="6"/>
        <v>1</v>
      </c>
      <c r="E21" s="224">
        <f t="shared" si="6"/>
        <v>1</v>
      </c>
      <c r="F21" s="224">
        <f t="shared" si="6"/>
        <v>1</v>
      </c>
      <c r="G21" s="224">
        <f t="shared" si="6"/>
        <v>1</v>
      </c>
      <c r="H21" s="224">
        <f t="shared" si="6"/>
        <v>1</v>
      </c>
      <c r="I21" s="224">
        <f t="shared" si="6"/>
        <v>1</v>
      </c>
      <c r="J21" s="224">
        <f t="shared" si="6"/>
        <v>1</v>
      </c>
      <c r="K21" s="224">
        <f t="shared" si="6"/>
        <v>1</v>
      </c>
      <c r="L21" s="224">
        <f t="shared" si="6"/>
        <v>1</v>
      </c>
    </row>
    <row r="22" ht="14.25" customHeight="1"/>
    <row r="23" ht="14.25" customHeight="1"/>
    <row r="24" ht="14.25" customHeight="1"/>
    <row r="25" ht="14.25" customHeight="1">
      <c r="B25" s="79" t="s">
        <v>362</v>
      </c>
      <c r="E25" s="213" t="s">
        <v>363</v>
      </c>
    </row>
    <row r="26" ht="14.25" customHeight="1">
      <c r="B26" s="225" t="s">
        <v>137</v>
      </c>
      <c r="C26" s="226">
        <v>0.93</v>
      </c>
    </row>
    <row r="27" ht="14.25" customHeight="1">
      <c r="B27" s="227" t="s">
        <v>328</v>
      </c>
      <c r="C27" s="228">
        <v>0.07</v>
      </c>
    </row>
    <row r="28" ht="14.25" customHeight="1">
      <c r="B28" s="79" t="s">
        <v>340</v>
      </c>
      <c r="C28" s="159">
        <f>SUM(C26:C27)</f>
        <v>1</v>
      </c>
    </row>
    <row r="29" ht="14.25" customHeight="1"/>
    <row r="30" ht="14.25" customHeight="1">
      <c r="B30" s="225" t="s">
        <v>137</v>
      </c>
      <c r="C30" s="171">
        <f t="shared" ref="C30:L30" si="7">+$C$26*C18</f>
        <v>0.093</v>
      </c>
      <c r="D30" s="171">
        <f t="shared" si="7"/>
        <v>0.1395</v>
      </c>
      <c r="E30" s="171">
        <f t="shared" si="7"/>
        <v>0.2325</v>
      </c>
      <c r="F30" s="171">
        <f t="shared" si="7"/>
        <v>0.3255</v>
      </c>
      <c r="G30" s="171">
        <f t="shared" si="7"/>
        <v>0.4185</v>
      </c>
      <c r="H30" s="171">
        <f t="shared" si="7"/>
        <v>0.5115</v>
      </c>
      <c r="I30" s="171">
        <f t="shared" si="7"/>
        <v>0.6045</v>
      </c>
      <c r="J30" s="171">
        <f t="shared" si="7"/>
        <v>0.651</v>
      </c>
      <c r="K30" s="171">
        <f t="shared" si="7"/>
        <v>0.6882</v>
      </c>
      <c r="L30" s="171">
        <f t="shared" si="7"/>
        <v>0.744</v>
      </c>
      <c r="O30" s="213" t="s">
        <v>364</v>
      </c>
    </row>
    <row r="31" ht="14.25" customHeight="1">
      <c r="B31" s="227" t="s">
        <v>328</v>
      </c>
      <c r="C31" s="57">
        <f t="shared" ref="C31:L31" si="8">+$C$27*C18</f>
        <v>0.007</v>
      </c>
      <c r="D31" s="57">
        <f t="shared" si="8"/>
        <v>0.0105</v>
      </c>
      <c r="E31" s="57">
        <f t="shared" si="8"/>
        <v>0.0175</v>
      </c>
      <c r="F31" s="57">
        <f t="shared" si="8"/>
        <v>0.0245</v>
      </c>
      <c r="G31" s="57">
        <f t="shared" si="8"/>
        <v>0.0315</v>
      </c>
      <c r="H31" s="57">
        <f t="shared" si="8"/>
        <v>0.0385</v>
      </c>
      <c r="I31" s="57">
        <f t="shared" si="8"/>
        <v>0.0455</v>
      </c>
      <c r="J31" s="57">
        <f t="shared" si="8"/>
        <v>0.049</v>
      </c>
      <c r="K31" s="57">
        <f t="shared" si="8"/>
        <v>0.0518</v>
      </c>
      <c r="L31" s="57">
        <f t="shared" si="8"/>
        <v>0.056</v>
      </c>
    </row>
    <row r="32" ht="14.25" customHeight="1">
      <c r="B32" s="79" t="s">
        <v>85</v>
      </c>
      <c r="C32" s="159">
        <f t="shared" ref="C32:L32" si="9">SUM(C30:C31)</f>
        <v>0.1</v>
      </c>
      <c r="D32" s="159">
        <f t="shared" si="9"/>
        <v>0.15</v>
      </c>
      <c r="E32" s="159">
        <f t="shared" si="9"/>
        <v>0.25</v>
      </c>
      <c r="F32" s="159">
        <f t="shared" si="9"/>
        <v>0.35</v>
      </c>
      <c r="G32" s="159">
        <f t="shared" si="9"/>
        <v>0.45</v>
      </c>
      <c r="H32" s="159">
        <f t="shared" si="9"/>
        <v>0.55</v>
      </c>
      <c r="I32" s="159">
        <f t="shared" si="9"/>
        <v>0.65</v>
      </c>
      <c r="J32" s="159">
        <f t="shared" si="9"/>
        <v>0.7</v>
      </c>
      <c r="K32" s="159">
        <f t="shared" si="9"/>
        <v>0.74</v>
      </c>
      <c r="L32" s="159">
        <f t="shared" si="9"/>
        <v>0.8</v>
      </c>
    </row>
    <row r="33" ht="14.25" customHeight="1">
      <c r="C33" s="28"/>
      <c r="D33" s="28"/>
      <c r="E33" s="28"/>
      <c r="F33" s="28"/>
      <c r="G33" s="28"/>
      <c r="H33" s="28"/>
      <c r="I33" s="28"/>
      <c r="J33" s="28"/>
      <c r="K33" s="28"/>
      <c r="L33" s="28"/>
    </row>
    <row r="34" ht="14.25" customHeight="1"/>
    <row r="35" ht="14.25" customHeight="1"/>
    <row r="36" ht="14.25" customHeight="1"/>
    <row r="37" ht="14.25" customHeight="1">
      <c r="B37" s="133" t="s">
        <v>365</v>
      </c>
      <c r="C37" s="135">
        <f t="shared" ref="C37:L37" si="10">+C38+C39+C40</f>
        <v>0.75</v>
      </c>
      <c r="D37" s="135">
        <f t="shared" si="10"/>
        <v>0.7</v>
      </c>
      <c r="E37" s="135">
        <f t="shared" si="10"/>
        <v>0.6</v>
      </c>
      <c r="F37" s="135">
        <f t="shared" si="10"/>
        <v>0.5</v>
      </c>
      <c r="G37" s="135">
        <f t="shared" si="10"/>
        <v>0.35</v>
      </c>
      <c r="H37" s="135">
        <f t="shared" si="10"/>
        <v>0.25</v>
      </c>
      <c r="I37" s="135">
        <f t="shared" si="10"/>
        <v>0.15</v>
      </c>
      <c r="J37" s="135">
        <f t="shared" si="10"/>
        <v>0.1</v>
      </c>
      <c r="K37" s="135">
        <f t="shared" si="10"/>
        <v>0.05</v>
      </c>
      <c r="L37" s="135">
        <f t="shared" si="10"/>
        <v>0</v>
      </c>
      <c r="O37" s="213" t="s">
        <v>366</v>
      </c>
    </row>
    <row r="38" ht="14.25" customHeight="1">
      <c r="B38" s="40" t="s">
        <v>333</v>
      </c>
      <c r="C38" s="104">
        <v>0.45</v>
      </c>
      <c r="D38" s="104">
        <v>0.42</v>
      </c>
      <c r="E38" s="104">
        <v>0.36</v>
      </c>
      <c r="F38" s="104">
        <v>0.35</v>
      </c>
      <c r="G38" s="104">
        <v>0.28</v>
      </c>
      <c r="H38" s="104">
        <v>0.25</v>
      </c>
      <c r="I38" s="104">
        <v>0.15</v>
      </c>
      <c r="J38" s="104">
        <v>0.1</v>
      </c>
      <c r="K38" s="104">
        <v>0.05</v>
      </c>
      <c r="L38" s="104">
        <v>0.0</v>
      </c>
    </row>
    <row r="39" ht="14.25" customHeight="1">
      <c r="B39" s="34" t="s">
        <v>149</v>
      </c>
      <c r="C39" s="229">
        <v>0.23</v>
      </c>
      <c r="D39" s="229">
        <v>0.18</v>
      </c>
      <c r="E39" s="229">
        <v>0.15</v>
      </c>
      <c r="F39" s="229">
        <v>0.1</v>
      </c>
      <c r="G39" s="229">
        <v>0.05</v>
      </c>
      <c r="H39" s="229">
        <v>0.0</v>
      </c>
      <c r="I39" s="229">
        <v>0.0</v>
      </c>
      <c r="J39" s="229">
        <v>0.0</v>
      </c>
      <c r="K39" s="229">
        <v>0.0</v>
      </c>
      <c r="L39" s="229">
        <v>0.0</v>
      </c>
    </row>
    <row r="40" ht="14.25" customHeight="1">
      <c r="B40" s="60" t="s">
        <v>335</v>
      </c>
      <c r="C40" s="230">
        <v>0.07</v>
      </c>
      <c r="D40" s="230">
        <v>0.1</v>
      </c>
      <c r="E40" s="230">
        <v>0.09</v>
      </c>
      <c r="F40" s="230">
        <v>0.05</v>
      </c>
      <c r="G40" s="230">
        <v>0.02</v>
      </c>
      <c r="H40" s="230">
        <v>0.0</v>
      </c>
      <c r="I40" s="230">
        <v>0.0</v>
      </c>
      <c r="J40" s="230">
        <v>0.0</v>
      </c>
      <c r="K40" s="230">
        <v>0.0</v>
      </c>
      <c r="L40" s="230">
        <v>0.0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c r="H68" s="12" t="s">
        <v>367</v>
      </c>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5.5"/>
    <col customWidth="1" min="3"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c r="B10" s="208" t="s">
        <v>316</v>
      </c>
      <c r="C10" s="209">
        <v>1.0</v>
      </c>
      <c r="D10" s="209">
        <v>2.0</v>
      </c>
      <c r="E10" s="209">
        <v>3.0</v>
      </c>
      <c r="F10" s="209">
        <v>4.0</v>
      </c>
      <c r="G10" s="209">
        <v>5.0</v>
      </c>
      <c r="H10" s="209">
        <v>6.0</v>
      </c>
      <c r="I10" s="209">
        <v>7.0</v>
      </c>
      <c r="J10" s="209">
        <v>8.0</v>
      </c>
      <c r="K10" s="209">
        <v>9.0</v>
      </c>
      <c r="L10" s="210">
        <v>10.0</v>
      </c>
    </row>
    <row r="11" ht="14.25" customHeight="1">
      <c r="B11" s="211" t="s">
        <v>353</v>
      </c>
      <c r="C11" s="212">
        <v>0.05</v>
      </c>
      <c r="D11" s="212">
        <v>0.055</v>
      </c>
      <c r="E11" s="212">
        <v>0.06</v>
      </c>
      <c r="F11" s="212">
        <v>0.07</v>
      </c>
      <c r="G11" s="212">
        <v>0.08</v>
      </c>
      <c r="H11" s="212">
        <v>0.09</v>
      </c>
      <c r="I11" s="212">
        <v>0.1</v>
      </c>
      <c r="J11" s="212">
        <v>0.11</v>
      </c>
      <c r="K11" s="212">
        <v>0.12</v>
      </c>
      <c r="L11" s="212">
        <v>0.13</v>
      </c>
      <c r="O11" s="213" t="s">
        <v>354</v>
      </c>
    </row>
    <row r="12" ht="14.25" customHeight="1">
      <c r="B12" s="214" t="s">
        <v>368</v>
      </c>
      <c r="C12" s="215">
        <f t="shared" ref="C12:L12" si="1">+C11*3</f>
        <v>0.15</v>
      </c>
      <c r="D12" s="215">
        <f t="shared" si="1"/>
        <v>0.165</v>
      </c>
      <c r="E12" s="215">
        <f t="shared" si="1"/>
        <v>0.18</v>
      </c>
      <c r="F12" s="215">
        <f t="shared" si="1"/>
        <v>0.21</v>
      </c>
      <c r="G12" s="215">
        <f t="shared" si="1"/>
        <v>0.24</v>
      </c>
      <c r="H12" s="215">
        <f t="shared" si="1"/>
        <v>0.27</v>
      </c>
      <c r="I12" s="215">
        <f t="shared" si="1"/>
        <v>0.3</v>
      </c>
      <c r="J12" s="215">
        <f t="shared" si="1"/>
        <v>0.33</v>
      </c>
      <c r="K12" s="215">
        <f t="shared" si="1"/>
        <v>0.36</v>
      </c>
      <c r="L12" s="215">
        <f t="shared" si="1"/>
        <v>0.39</v>
      </c>
    </row>
    <row r="13" ht="14.25" customHeight="1">
      <c r="B13" s="68" t="s">
        <v>356</v>
      </c>
      <c r="C13" s="216">
        <f t="shared" ref="C13:L13" si="2">1/(1-C12)-1</f>
        <v>0.1764705882</v>
      </c>
      <c r="D13" s="216">
        <f t="shared" si="2"/>
        <v>0.1976047904</v>
      </c>
      <c r="E13" s="216">
        <f t="shared" si="2"/>
        <v>0.2195121951</v>
      </c>
      <c r="F13" s="216">
        <f t="shared" si="2"/>
        <v>0.2658227848</v>
      </c>
      <c r="G13" s="216">
        <f t="shared" si="2"/>
        <v>0.3157894737</v>
      </c>
      <c r="H13" s="216">
        <f t="shared" si="2"/>
        <v>0.3698630137</v>
      </c>
      <c r="I13" s="216">
        <f t="shared" si="2"/>
        <v>0.4285714286</v>
      </c>
      <c r="J13" s="216">
        <f t="shared" si="2"/>
        <v>0.4925373134</v>
      </c>
      <c r="K13" s="216">
        <f t="shared" si="2"/>
        <v>0.5625</v>
      </c>
      <c r="L13" s="216">
        <f t="shared" si="2"/>
        <v>0.6393442623</v>
      </c>
    </row>
    <row r="14" ht="14.25" customHeight="1">
      <c r="B14" s="211" t="s">
        <v>357</v>
      </c>
      <c r="C14" s="33">
        <f t="shared" ref="C14:L14" si="3">+C11</f>
        <v>0.05</v>
      </c>
      <c r="D14" s="33">
        <f t="shared" si="3"/>
        <v>0.055</v>
      </c>
      <c r="E14" s="33">
        <f t="shared" si="3"/>
        <v>0.06</v>
      </c>
      <c r="F14" s="33">
        <f t="shared" si="3"/>
        <v>0.07</v>
      </c>
      <c r="G14" s="33">
        <f t="shared" si="3"/>
        <v>0.08</v>
      </c>
      <c r="H14" s="33">
        <f t="shared" si="3"/>
        <v>0.09</v>
      </c>
      <c r="I14" s="33">
        <f t="shared" si="3"/>
        <v>0.1</v>
      </c>
      <c r="J14" s="33">
        <f t="shared" si="3"/>
        <v>0.11</v>
      </c>
      <c r="K14" s="33">
        <f t="shared" si="3"/>
        <v>0.12</v>
      </c>
      <c r="L14" s="33">
        <f t="shared" si="3"/>
        <v>0.13</v>
      </c>
    </row>
    <row r="15" ht="14.25" customHeight="1">
      <c r="B15" s="120" t="s">
        <v>358</v>
      </c>
      <c r="C15" s="122">
        <f t="shared" ref="C15:L15" si="4">LN(1+C13)/LN(1+C14)</f>
        <v>3.330977304</v>
      </c>
      <c r="D15" s="122">
        <f t="shared" si="4"/>
        <v>3.367967336</v>
      </c>
      <c r="E15" s="122">
        <f t="shared" si="4"/>
        <v>3.405777543</v>
      </c>
      <c r="F15" s="122">
        <f t="shared" si="4"/>
        <v>3.483994121</v>
      </c>
      <c r="G15" s="122">
        <f t="shared" si="4"/>
        <v>3.565919089</v>
      </c>
      <c r="H15" s="122">
        <f t="shared" si="4"/>
        <v>3.651881619</v>
      </c>
      <c r="I15" s="122">
        <f t="shared" si="4"/>
        <v>3.742254444</v>
      </c>
      <c r="J15" s="122">
        <f t="shared" si="4"/>
        <v>3.837461746</v>
      </c>
      <c r="K15" s="122">
        <f t="shared" si="4"/>
        <v>3.937988881</v>
      </c>
      <c r="L15" s="122">
        <f t="shared" si="4"/>
        <v>4.044394502</v>
      </c>
    </row>
    <row r="16" ht="14.25" customHeight="1"/>
    <row r="17" ht="14.25" customHeight="1">
      <c r="B17" s="211" t="s">
        <v>359</v>
      </c>
      <c r="C17" s="28">
        <v>0.03</v>
      </c>
      <c r="D17" s="33">
        <v>0.033</v>
      </c>
      <c r="E17" s="33">
        <v>0.036</v>
      </c>
      <c r="F17" s="33">
        <v>0.038</v>
      </c>
      <c r="G17" s="33">
        <v>0.041</v>
      </c>
      <c r="H17" s="33">
        <v>0.044</v>
      </c>
      <c r="I17" s="33">
        <v>0.046</v>
      </c>
      <c r="J17" s="33">
        <v>0.049</v>
      </c>
      <c r="K17" s="33">
        <v>0.052</v>
      </c>
      <c r="L17" s="33">
        <v>0.056</v>
      </c>
    </row>
    <row r="18" ht="14.25" customHeight="1">
      <c r="B18" s="120" t="s">
        <v>358</v>
      </c>
      <c r="C18" s="122">
        <f t="shared" ref="C18:L18" si="5">LN(1+C13)/LN(1+C17)</f>
        <v>5.498156798</v>
      </c>
      <c r="D18" s="122">
        <f t="shared" si="5"/>
        <v>5.554024028</v>
      </c>
      <c r="E18" s="122">
        <f t="shared" si="5"/>
        <v>5.61116667</v>
      </c>
      <c r="F18" s="122">
        <f t="shared" si="5"/>
        <v>6.320347866</v>
      </c>
      <c r="G18" s="122">
        <f t="shared" si="5"/>
        <v>6.829881103</v>
      </c>
      <c r="H18" s="122">
        <f t="shared" si="5"/>
        <v>7.308743062</v>
      </c>
      <c r="I18" s="122">
        <f t="shared" si="5"/>
        <v>7.930803907</v>
      </c>
      <c r="J18" s="122">
        <f t="shared" si="5"/>
        <v>8.371653926</v>
      </c>
      <c r="K18" s="122">
        <f t="shared" si="5"/>
        <v>8.803702606</v>
      </c>
      <c r="L18" s="122">
        <f t="shared" si="5"/>
        <v>9.071623862</v>
      </c>
    </row>
    <row r="19" ht="14.25" customHeight="1"/>
    <row r="20" ht="14.25" customHeight="1"/>
    <row r="21" ht="14.25" customHeight="1"/>
    <row r="22" ht="14.25" customHeight="1"/>
    <row r="23" ht="14.25" customHeight="1">
      <c r="B23" s="220" t="s">
        <v>360</v>
      </c>
      <c r="O23" s="213" t="s">
        <v>361</v>
      </c>
    </row>
    <row r="24" ht="14.25" customHeight="1">
      <c r="B24" s="79" t="s">
        <v>85</v>
      </c>
      <c r="C24" s="159">
        <v>0.1</v>
      </c>
      <c r="D24" s="159">
        <v>0.15</v>
      </c>
      <c r="E24" s="159">
        <v>0.25</v>
      </c>
      <c r="F24" s="159">
        <v>0.35</v>
      </c>
      <c r="G24" s="159">
        <v>0.45</v>
      </c>
      <c r="H24" s="159">
        <v>0.55</v>
      </c>
      <c r="I24" s="159">
        <v>0.65</v>
      </c>
      <c r="J24" s="159">
        <v>0.7</v>
      </c>
      <c r="K24" s="159">
        <v>0.75</v>
      </c>
      <c r="L24" s="159">
        <v>0.8</v>
      </c>
    </row>
    <row r="25" ht="14.25" customHeight="1">
      <c r="B25" s="133" t="s">
        <v>331</v>
      </c>
      <c r="C25" s="135">
        <v>0.75</v>
      </c>
      <c r="D25" s="135">
        <v>0.7</v>
      </c>
      <c r="E25" s="135">
        <v>0.6</v>
      </c>
      <c r="F25" s="135">
        <v>0.5</v>
      </c>
      <c r="G25" s="135">
        <v>0.35</v>
      </c>
      <c r="H25" s="135">
        <v>0.25</v>
      </c>
      <c r="I25" s="135">
        <v>0.15</v>
      </c>
      <c r="J25" s="135">
        <v>0.1</v>
      </c>
      <c r="K25" s="135">
        <v>0.05</v>
      </c>
      <c r="L25" s="135">
        <v>0.0</v>
      </c>
    </row>
    <row r="26" ht="14.25" customHeight="1">
      <c r="B26" s="68" t="s">
        <v>337</v>
      </c>
      <c r="C26" s="216">
        <v>0.15</v>
      </c>
      <c r="D26" s="216">
        <v>0.15</v>
      </c>
      <c r="E26" s="216">
        <v>0.15</v>
      </c>
      <c r="F26" s="216">
        <v>0.15</v>
      </c>
      <c r="G26" s="216">
        <v>0.2</v>
      </c>
      <c r="H26" s="216">
        <v>0.2</v>
      </c>
      <c r="I26" s="216">
        <v>0.2</v>
      </c>
      <c r="J26" s="216">
        <v>0.2</v>
      </c>
      <c r="K26" s="216">
        <v>0.2</v>
      </c>
      <c r="L26" s="222">
        <v>0.2</v>
      </c>
    </row>
    <row r="27" ht="14.25" customHeight="1">
      <c r="B27" s="223" t="s">
        <v>340</v>
      </c>
      <c r="C27" s="224">
        <f t="shared" ref="C27:L27" si="6">SUM(C24:C26)</f>
        <v>1</v>
      </c>
      <c r="D27" s="224">
        <f t="shared" si="6"/>
        <v>1</v>
      </c>
      <c r="E27" s="224">
        <f t="shared" si="6"/>
        <v>1</v>
      </c>
      <c r="F27" s="224">
        <f t="shared" si="6"/>
        <v>1</v>
      </c>
      <c r="G27" s="224">
        <f t="shared" si="6"/>
        <v>1</v>
      </c>
      <c r="H27" s="224">
        <f t="shared" si="6"/>
        <v>1</v>
      </c>
      <c r="I27" s="224">
        <f t="shared" si="6"/>
        <v>1</v>
      </c>
      <c r="J27" s="224">
        <f t="shared" si="6"/>
        <v>1</v>
      </c>
      <c r="K27" s="224">
        <f t="shared" si="6"/>
        <v>1</v>
      </c>
      <c r="L27" s="224">
        <f t="shared" si="6"/>
        <v>1</v>
      </c>
    </row>
    <row r="28" ht="14.25" customHeight="1"/>
    <row r="29" ht="14.25" customHeight="1"/>
    <row r="30" ht="14.25" customHeight="1"/>
    <row r="31" ht="14.25" customHeight="1">
      <c r="B31" s="79" t="s">
        <v>85</v>
      </c>
      <c r="E31" s="213" t="s">
        <v>369</v>
      </c>
    </row>
    <row r="32" ht="14.25" customHeight="1">
      <c r="B32" s="29" t="s">
        <v>346</v>
      </c>
      <c r="C32" s="171">
        <v>0.25</v>
      </c>
    </row>
    <row r="33" ht="14.25" customHeight="1">
      <c r="B33" s="93" t="s">
        <v>347</v>
      </c>
      <c r="C33" s="176">
        <v>0.25</v>
      </c>
    </row>
    <row r="34" ht="14.25" customHeight="1">
      <c r="B34" s="29" t="s">
        <v>348</v>
      </c>
      <c r="C34" s="171">
        <v>0.25</v>
      </c>
    </row>
    <row r="35" ht="14.25" customHeight="1">
      <c r="B35" s="93" t="s">
        <v>349</v>
      </c>
      <c r="C35" s="178">
        <v>0.125</v>
      </c>
    </row>
    <row r="36" ht="14.25" customHeight="1">
      <c r="B36" s="29" t="s">
        <v>350</v>
      </c>
      <c r="C36" s="180">
        <v>0.125</v>
      </c>
    </row>
    <row r="37" ht="14.25" customHeight="1">
      <c r="B37" s="79" t="s">
        <v>340</v>
      </c>
      <c r="C37" s="159">
        <f>SUM(C32:C36)</f>
        <v>1</v>
      </c>
    </row>
    <row r="38" ht="14.25" customHeight="1"/>
    <row r="39" ht="14.25" customHeight="1"/>
    <row r="40" ht="14.25" customHeight="1">
      <c r="B40" s="29" t="s">
        <v>346</v>
      </c>
      <c r="C40" s="171">
        <f t="shared" ref="C40:L40" si="7">+$C$32*C24</f>
        <v>0.025</v>
      </c>
      <c r="D40" s="180">
        <f t="shared" si="7"/>
        <v>0.0375</v>
      </c>
      <c r="E40" s="180">
        <f t="shared" si="7"/>
        <v>0.0625</v>
      </c>
      <c r="F40" s="180">
        <f t="shared" si="7"/>
        <v>0.0875</v>
      </c>
      <c r="G40" s="180">
        <f t="shared" si="7"/>
        <v>0.1125</v>
      </c>
      <c r="H40" s="180">
        <f t="shared" si="7"/>
        <v>0.1375</v>
      </c>
      <c r="I40" s="180">
        <f t="shared" si="7"/>
        <v>0.1625</v>
      </c>
      <c r="J40" s="180">
        <f t="shared" si="7"/>
        <v>0.175</v>
      </c>
      <c r="K40" s="180">
        <f t="shared" si="7"/>
        <v>0.1875</v>
      </c>
      <c r="L40" s="180">
        <f t="shared" si="7"/>
        <v>0.2</v>
      </c>
      <c r="O40" s="213" t="s">
        <v>370</v>
      </c>
    </row>
    <row r="41" ht="14.25" customHeight="1">
      <c r="B41" s="93" t="s">
        <v>347</v>
      </c>
      <c r="C41" s="176">
        <f t="shared" ref="C41:L41" si="8">+$C$33*C24</f>
        <v>0.025</v>
      </c>
      <c r="D41" s="178">
        <f t="shared" si="8"/>
        <v>0.0375</v>
      </c>
      <c r="E41" s="178">
        <f t="shared" si="8"/>
        <v>0.0625</v>
      </c>
      <c r="F41" s="178">
        <f t="shared" si="8"/>
        <v>0.0875</v>
      </c>
      <c r="G41" s="178">
        <f t="shared" si="8"/>
        <v>0.1125</v>
      </c>
      <c r="H41" s="178">
        <f t="shared" si="8"/>
        <v>0.1375</v>
      </c>
      <c r="I41" s="178">
        <f t="shared" si="8"/>
        <v>0.1625</v>
      </c>
      <c r="J41" s="178">
        <f t="shared" si="8"/>
        <v>0.175</v>
      </c>
      <c r="K41" s="178">
        <f t="shared" si="8"/>
        <v>0.1875</v>
      </c>
      <c r="L41" s="178">
        <f t="shared" si="8"/>
        <v>0.2</v>
      </c>
    </row>
    <row r="42" ht="14.25" customHeight="1">
      <c r="B42" s="29" t="s">
        <v>348</v>
      </c>
      <c r="C42" s="171">
        <f t="shared" ref="C42:L42" si="9">+$C$34*C24</f>
        <v>0.025</v>
      </c>
      <c r="D42" s="180">
        <f t="shared" si="9"/>
        <v>0.0375</v>
      </c>
      <c r="E42" s="180">
        <f t="shared" si="9"/>
        <v>0.0625</v>
      </c>
      <c r="F42" s="180">
        <f t="shared" si="9"/>
        <v>0.0875</v>
      </c>
      <c r="G42" s="180">
        <f t="shared" si="9"/>
        <v>0.1125</v>
      </c>
      <c r="H42" s="180">
        <f t="shared" si="9"/>
        <v>0.1375</v>
      </c>
      <c r="I42" s="180">
        <f t="shared" si="9"/>
        <v>0.1625</v>
      </c>
      <c r="J42" s="180">
        <f t="shared" si="9"/>
        <v>0.175</v>
      </c>
      <c r="K42" s="180">
        <f t="shared" si="9"/>
        <v>0.1875</v>
      </c>
      <c r="L42" s="180">
        <f t="shared" si="9"/>
        <v>0.2</v>
      </c>
    </row>
    <row r="43" ht="14.25" customHeight="1">
      <c r="B43" s="93" t="s">
        <v>349</v>
      </c>
      <c r="C43" s="178">
        <f t="shared" ref="C43:L43" si="10">+$C$35*C24</f>
        <v>0.0125</v>
      </c>
      <c r="D43" s="178">
        <f t="shared" si="10"/>
        <v>0.01875</v>
      </c>
      <c r="E43" s="178">
        <f t="shared" si="10"/>
        <v>0.03125</v>
      </c>
      <c r="F43" s="178">
        <f t="shared" si="10"/>
        <v>0.04375</v>
      </c>
      <c r="G43" s="178">
        <f t="shared" si="10"/>
        <v>0.05625</v>
      </c>
      <c r="H43" s="178">
        <f t="shared" si="10"/>
        <v>0.06875</v>
      </c>
      <c r="I43" s="178">
        <f t="shared" si="10"/>
        <v>0.08125</v>
      </c>
      <c r="J43" s="178">
        <f t="shared" si="10"/>
        <v>0.0875</v>
      </c>
      <c r="K43" s="178">
        <f t="shared" si="10"/>
        <v>0.09375</v>
      </c>
      <c r="L43" s="178">
        <f t="shared" si="10"/>
        <v>0.1</v>
      </c>
    </row>
    <row r="44" ht="14.25" customHeight="1">
      <c r="B44" s="29" t="s">
        <v>350</v>
      </c>
      <c r="C44" s="180">
        <f t="shared" ref="C44:L44" si="11">+$C$36*C24</f>
        <v>0.0125</v>
      </c>
      <c r="D44" s="180">
        <f t="shared" si="11"/>
        <v>0.01875</v>
      </c>
      <c r="E44" s="180">
        <f t="shared" si="11"/>
        <v>0.03125</v>
      </c>
      <c r="F44" s="180">
        <f t="shared" si="11"/>
        <v>0.04375</v>
      </c>
      <c r="G44" s="180">
        <f t="shared" si="11"/>
        <v>0.05625</v>
      </c>
      <c r="H44" s="180">
        <f t="shared" si="11"/>
        <v>0.06875</v>
      </c>
      <c r="I44" s="180">
        <f t="shared" si="11"/>
        <v>0.08125</v>
      </c>
      <c r="J44" s="180">
        <f t="shared" si="11"/>
        <v>0.0875</v>
      </c>
      <c r="K44" s="180">
        <f t="shared" si="11"/>
        <v>0.09375</v>
      </c>
      <c r="L44" s="180">
        <f t="shared" si="11"/>
        <v>0.1</v>
      </c>
    </row>
    <row r="45" ht="14.25" customHeight="1">
      <c r="B45" s="79" t="s">
        <v>85</v>
      </c>
      <c r="C45" s="159">
        <f t="shared" ref="C45:L45" si="12">SUM(C40:C44)</f>
        <v>0.1</v>
      </c>
      <c r="D45" s="159">
        <f t="shared" si="12"/>
        <v>0.15</v>
      </c>
      <c r="E45" s="159">
        <f t="shared" si="12"/>
        <v>0.25</v>
      </c>
      <c r="F45" s="159">
        <f t="shared" si="12"/>
        <v>0.35</v>
      </c>
      <c r="G45" s="159">
        <f t="shared" si="12"/>
        <v>0.45</v>
      </c>
      <c r="H45" s="159">
        <f t="shared" si="12"/>
        <v>0.55</v>
      </c>
      <c r="I45" s="159">
        <f t="shared" si="12"/>
        <v>0.65</v>
      </c>
      <c r="J45" s="159">
        <f t="shared" si="12"/>
        <v>0.7</v>
      </c>
      <c r="K45" s="159">
        <f t="shared" si="12"/>
        <v>0.75</v>
      </c>
      <c r="L45" s="159">
        <f t="shared" si="12"/>
        <v>0.8</v>
      </c>
    </row>
    <row r="46" ht="14.25" customHeight="1">
      <c r="C46" s="28"/>
      <c r="D46" s="28"/>
      <c r="E46" s="28"/>
      <c r="F46" s="28"/>
      <c r="G46" s="28"/>
      <c r="H46" s="28"/>
      <c r="I46" s="28"/>
      <c r="J46" s="28"/>
      <c r="K46" s="28"/>
      <c r="L46" s="28"/>
    </row>
    <row r="47" ht="14.25" customHeight="1"/>
    <row r="48" ht="14.25" customHeight="1"/>
    <row r="49" ht="14.25" customHeight="1"/>
    <row r="50" ht="14.25" customHeight="1"/>
    <row r="51" ht="14.25" customHeight="1"/>
    <row r="52" ht="14.25" customHeight="1">
      <c r="B52" s="133" t="s">
        <v>365</v>
      </c>
      <c r="C52" s="135">
        <f t="shared" ref="C52:L52" si="13">+C53+C54+C55</f>
        <v>0.75</v>
      </c>
      <c r="D52" s="135">
        <f t="shared" si="13"/>
        <v>0.7</v>
      </c>
      <c r="E52" s="135">
        <f t="shared" si="13"/>
        <v>0.6</v>
      </c>
      <c r="F52" s="135">
        <f t="shared" si="13"/>
        <v>0.5</v>
      </c>
      <c r="G52" s="135">
        <f t="shared" si="13"/>
        <v>0.35</v>
      </c>
      <c r="H52" s="135">
        <f t="shared" si="13"/>
        <v>0.25</v>
      </c>
      <c r="I52" s="135">
        <f t="shared" si="13"/>
        <v>0.15</v>
      </c>
      <c r="J52" s="135">
        <f t="shared" si="13"/>
        <v>0.1</v>
      </c>
      <c r="K52" s="135">
        <f t="shared" si="13"/>
        <v>0.05</v>
      </c>
      <c r="L52" s="135">
        <f t="shared" si="13"/>
        <v>0</v>
      </c>
      <c r="O52" s="213" t="s">
        <v>366</v>
      </c>
    </row>
    <row r="53" ht="14.25" customHeight="1">
      <c r="B53" s="40" t="s">
        <v>333</v>
      </c>
      <c r="C53" s="104">
        <v>0.45</v>
      </c>
      <c r="D53" s="104">
        <v>0.42</v>
      </c>
      <c r="E53" s="104">
        <v>0.36</v>
      </c>
      <c r="F53" s="104">
        <v>0.35</v>
      </c>
      <c r="G53" s="104">
        <v>0.28</v>
      </c>
      <c r="H53" s="104">
        <v>0.25</v>
      </c>
      <c r="I53" s="104">
        <v>0.15</v>
      </c>
      <c r="J53" s="104">
        <v>0.1</v>
      </c>
      <c r="K53" s="104">
        <v>0.05</v>
      </c>
      <c r="L53" s="104">
        <v>0.0</v>
      </c>
    </row>
    <row r="54" ht="14.25" customHeight="1">
      <c r="B54" s="34" t="s">
        <v>149</v>
      </c>
      <c r="C54" s="229">
        <v>0.23</v>
      </c>
      <c r="D54" s="229">
        <v>0.18</v>
      </c>
      <c r="E54" s="229">
        <v>0.15</v>
      </c>
      <c r="F54" s="229">
        <v>0.1</v>
      </c>
      <c r="G54" s="229">
        <v>0.05</v>
      </c>
      <c r="H54" s="229">
        <v>0.0</v>
      </c>
      <c r="I54" s="229">
        <v>0.0</v>
      </c>
      <c r="J54" s="229">
        <v>0.0</v>
      </c>
      <c r="K54" s="229">
        <v>0.0</v>
      </c>
      <c r="L54" s="229">
        <v>0.0</v>
      </c>
    </row>
    <row r="55" ht="14.25" customHeight="1">
      <c r="B55" s="60" t="s">
        <v>335</v>
      </c>
      <c r="C55" s="230">
        <v>0.07</v>
      </c>
      <c r="D55" s="230">
        <v>0.1</v>
      </c>
      <c r="E55" s="230">
        <v>0.09</v>
      </c>
      <c r="F55" s="230">
        <v>0.05</v>
      </c>
      <c r="G55" s="230">
        <v>0.02</v>
      </c>
      <c r="H55" s="230">
        <v>0.0</v>
      </c>
      <c r="I55" s="230">
        <v>0.0</v>
      </c>
      <c r="J55" s="230">
        <v>0.0</v>
      </c>
      <c r="K55" s="230">
        <v>0.0</v>
      </c>
      <c r="L55" s="230">
        <v>0.0</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5.5"/>
    <col customWidth="1" min="3"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c r="B10" s="208" t="s">
        <v>316</v>
      </c>
      <c r="C10" s="209">
        <v>1.0</v>
      </c>
      <c r="D10" s="209">
        <v>2.0</v>
      </c>
      <c r="E10" s="209">
        <v>3.0</v>
      </c>
      <c r="F10" s="209">
        <v>4.0</v>
      </c>
      <c r="G10" s="209">
        <v>5.0</v>
      </c>
      <c r="H10" s="209">
        <v>6.0</v>
      </c>
      <c r="I10" s="209">
        <v>7.0</v>
      </c>
      <c r="J10" s="209">
        <v>8.0</v>
      </c>
      <c r="K10" s="209">
        <v>9.0</v>
      </c>
      <c r="L10" s="210">
        <v>10.0</v>
      </c>
    </row>
    <row r="11" ht="14.25" customHeight="1">
      <c r="B11" s="211" t="s">
        <v>353</v>
      </c>
      <c r="C11" s="212">
        <v>0.05</v>
      </c>
      <c r="D11" s="212">
        <v>0.055</v>
      </c>
      <c r="E11" s="212">
        <v>0.06</v>
      </c>
      <c r="F11" s="212">
        <v>0.07</v>
      </c>
      <c r="G11" s="212">
        <v>0.08</v>
      </c>
      <c r="H11" s="212">
        <v>0.09</v>
      </c>
      <c r="I11" s="212">
        <v>0.1</v>
      </c>
      <c r="J11" s="212">
        <v>0.11</v>
      </c>
      <c r="K11" s="212">
        <v>0.12</v>
      </c>
      <c r="L11" s="212">
        <v>0.13</v>
      </c>
      <c r="O11" s="213" t="s">
        <v>354</v>
      </c>
    </row>
    <row r="12" ht="14.25" customHeight="1">
      <c r="B12" s="214" t="s">
        <v>368</v>
      </c>
      <c r="C12" s="215">
        <f t="shared" ref="C12:L12" si="1">+C11*3</f>
        <v>0.15</v>
      </c>
      <c r="D12" s="215">
        <f t="shared" si="1"/>
        <v>0.165</v>
      </c>
      <c r="E12" s="215">
        <f t="shared" si="1"/>
        <v>0.18</v>
      </c>
      <c r="F12" s="215">
        <f t="shared" si="1"/>
        <v>0.21</v>
      </c>
      <c r="G12" s="215">
        <f t="shared" si="1"/>
        <v>0.24</v>
      </c>
      <c r="H12" s="215">
        <f t="shared" si="1"/>
        <v>0.27</v>
      </c>
      <c r="I12" s="215">
        <f t="shared" si="1"/>
        <v>0.3</v>
      </c>
      <c r="J12" s="215">
        <f t="shared" si="1"/>
        <v>0.33</v>
      </c>
      <c r="K12" s="215">
        <f t="shared" si="1"/>
        <v>0.36</v>
      </c>
      <c r="L12" s="215">
        <f t="shared" si="1"/>
        <v>0.39</v>
      </c>
    </row>
    <row r="13" ht="14.25" customHeight="1">
      <c r="B13" s="68" t="s">
        <v>356</v>
      </c>
      <c r="C13" s="216">
        <f t="shared" ref="C13:L13" si="2">1/(1-C12)-1</f>
        <v>0.1764705882</v>
      </c>
      <c r="D13" s="216">
        <f t="shared" si="2"/>
        <v>0.1976047904</v>
      </c>
      <c r="E13" s="216">
        <f t="shared" si="2"/>
        <v>0.2195121951</v>
      </c>
      <c r="F13" s="216">
        <f t="shared" si="2"/>
        <v>0.2658227848</v>
      </c>
      <c r="G13" s="216">
        <f t="shared" si="2"/>
        <v>0.3157894737</v>
      </c>
      <c r="H13" s="216">
        <f t="shared" si="2"/>
        <v>0.3698630137</v>
      </c>
      <c r="I13" s="216">
        <f t="shared" si="2"/>
        <v>0.4285714286</v>
      </c>
      <c r="J13" s="216">
        <f t="shared" si="2"/>
        <v>0.4925373134</v>
      </c>
      <c r="K13" s="216">
        <f t="shared" si="2"/>
        <v>0.5625</v>
      </c>
      <c r="L13" s="216">
        <f t="shared" si="2"/>
        <v>0.6393442623</v>
      </c>
    </row>
    <row r="14" ht="14.25" customHeight="1">
      <c r="B14" s="211" t="s">
        <v>357</v>
      </c>
      <c r="C14" s="33">
        <f t="shared" ref="C14:L14" si="3">+C11</f>
        <v>0.05</v>
      </c>
      <c r="D14" s="33">
        <f t="shared" si="3"/>
        <v>0.055</v>
      </c>
      <c r="E14" s="33">
        <f t="shared" si="3"/>
        <v>0.06</v>
      </c>
      <c r="F14" s="33">
        <f t="shared" si="3"/>
        <v>0.07</v>
      </c>
      <c r="G14" s="33">
        <f t="shared" si="3"/>
        <v>0.08</v>
      </c>
      <c r="H14" s="33">
        <f t="shared" si="3"/>
        <v>0.09</v>
      </c>
      <c r="I14" s="33">
        <f t="shared" si="3"/>
        <v>0.1</v>
      </c>
      <c r="J14" s="33">
        <f t="shared" si="3"/>
        <v>0.11</v>
      </c>
      <c r="K14" s="33">
        <f t="shared" si="3"/>
        <v>0.12</v>
      </c>
      <c r="L14" s="33">
        <f t="shared" si="3"/>
        <v>0.13</v>
      </c>
    </row>
    <row r="15" ht="14.25" customHeight="1">
      <c r="B15" s="120" t="s">
        <v>358</v>
      </c>
      <c r="C15" s="122">
        <f t="shared" ref="C15:L15" si="4">LN(1+C13)/LN(1+C14)</f>
        <v>3.330977304</v>
      </c>
      <c r="D15" s="122">
        <f t="shared" si="4"/>
        <v>3.367967336</v>
      </c>
      <c r="E15" s="122">
        <f t="shared" si="4"/>
        <v>3.405777543</v>
      </c>
      <c r="F15" s="122">
        <f t="shared" si="4"/>
        <v>3.483994121</v>
      </c>
      <c r="G15" s="122">
        <f t="shared" si="4"/>
        <v>3.565919089</v>
      </c>
      <c r="H15" s="122">
        <f t="shared" si="4"/>
        <v>3.651881619</v>
      </c>
      <c r="I15" s="122">
        <f t="shared" si="4"/>
        <v>3.742254444</v>
      </c>
      <c r="J15" s="122">
        <f t="shared" si="4"/>
        <v>3.837461746</v>
      </c>
      <c r="K15" s="122">
        <f t="shared" si="4"/>
        <v>3.937988881</v>
      </c>
      <c r="L15" s="122">
        <f t="shared" si="4"/>
        <v>4.044394502</v>
      </c>
    </row>
    <row r="16" ht="14.25" customHeight="1"/>
    <row r="17" ht="14.25" customHeight="1">
      <c r="B17" s="211" t="s">
        <v>359</v>
      </c>
      <c r="C17" s="28">
        <v>0.03</v>
      </c>
      <c r="D17" s="33">
        <v>0.033</v>
      </c>
      <c r="E17" s="33">
        <v>0.036</v>
      </c>
      <c r="F17" s="33">
        <v>0.038</v>
      </c>
      <c r="G17" s="33">
        <v>0.041</v>
      </c>
      <c r="H17" s="33">
        <v>0.044</v>
      </c>
      <c r="I17" s="33">
        <v>0.046</v>
      </c>
      <c r="J17" s="33">
        <v>0.049</v>
      </c>
      <c r="K17" s="33">
        <v>0.052</v>
      </c>
      <c r="L17" s="33">
        <v>0.056</v>
      </c>
    </row>
    <row r="18" ht="14.25" customHeight="1">
      <c r="B18" s="120" t="s">
        <v>358</v>
      </c>
      <c r="C18" s="122">
        <f t="shared" ref="C18:L18" si="5">LN(1+C13)/LN(1+C17)</f>
        <v>5.498156798</v>
      </c>
      <c r="D18" s="122">
        <f t="shared" si="5"/>
        <v>5.554024028</v>
      </c>
      <c r="E18" s="122">
        <f t="shared" si="5"/>
        <v>5.61116667</v>
      </c>
      <c r="F18" s="122">
        <f t="shared" si="5"/>
        <v>6.320347866</v>
      </c>
      <c r="G18" s="122">
        <f t="shared" si="5"/>
        <v>6.829881103</v>
      </c>
      <c r="H18" s="122">
        <f t="shared" si="5"/>
        <v>7.308743062</v>
      </c>
      <c r="I18" s="122">
        <f t="shared" si="5"/>
        <v>7.930803907</v>
      </c>
      <c r="J18" s="122">
        <f t="shared" si="5"/>
        <v>8.371653926</v>
      </c>
      <c r="K18" s="122">
        <f t="shared" si="5"/>
        <v>8.803702606</v>
      </c>
      <c r="L18" s="122">
        <f t="shared" si="5"/>
        <v>9.071623862</v>
      </c>
    </row>
    <row r="19" ht="14.25" customHeight="1"/>
    <row r="20" ht="14.25" customHeight="1"/>
    <row r="21" ht="14.25" customHeight="1"/>
    <row r="22" ht="14.25" customHeight="1"/>
    <row r="23" ht="14.25" customHeight="1">
      <c r="B23" s="220" t="s">
        <v>360</v>
      </c>
      <c r="O23" s="213" t="s">
        <v>361</v>
      </c>
    </row>
    <row r="24" ht="14.25" customHeight="1">
      <c r="B24" s="79" t="s">
        <v>85</v>
      </c>
      <c r="C24" s="159">
        <v>0.1</v>
      </c>
      <c r="D24" s="159">
        <v>0.15</v>
      </c>
      <c r="E24" s="159">
        <v>0.25</v>
      </c>
      <c r="F24" s="159">
        <v>0.35</v>
      </c>
      <c r="G24" s="159">
        <v>0.45</v>
      </c>
      <c r="H24" s="159">
        <v>0.55</v>
      </c>
      <c r="I24" s="159">
        <v>0.65</v>
      </c>
      <c r="J24" s="159">
        <v>0.7</v>
      </c>
      <c r="K24" s="159">
        <v>0.75</v>
      </c>
      <c r="L24" s="159">
        <v>0.8</v>
      </c>
    </row>
    <row r="25" ht="14.25" customHeight="1">
      <c r="B25" s="133" t="s">
        <v>331</v>
      </c>
      <c r="C25" s="135">
        <v>0.75</v>
      </c>
      <c r="D25" s="135">
        <v>0.7</v>
      </c>
      <c r="E25" s="135">
        <v>0.6</v>
      </c>
      <c r="F25" s="135">
        <v>0.5</v>
      </c>
      <c r="G25" s="135">
        <v>0.35</v>
      </c>
      <c r="H25" s="135">
        <v>0.25</v>
      </c>
      <c r="I25" s="135">
        <v>0.15</v>
      </c>
      <c r="J25" s="135">
        <v>0.1</v>
      </c>
      <c r="K25" s="135">
        <v>0.05</v>
      </c>
      <c r="L25" s="135">
        <v>0.0</v>
      </c>
    </row>
    <row r="26" ht="14.25" customHeight="1">
      <c r="B26" s="68" t="s">
        <v>337</v>
      </c>
      <c r="C26" s="216">
        <v>0.15</v>
      </c>
      <c r="D26" s="216">
        <v>0.15</v>
      </c>
      <c r="E26" s="216">
        <v>0.15</v>
      </c>
      <c r="F26" s="216">
        <v>0.15</v>
      </c>
      <c r="G26" s="216">
        <v>0.2</v>
      </c>
      <c r="H26" s="216">
        <v>0.2</v>
      </c>
      <c r="I26" s="216">
        <v>0.2</v>
      </c>
      <c r="J26" s="216">
        <v>0.2</v>
      </c>
      <c r="K26" s="216">
        <v>0.2</v>
      </c>
      <c r="L26" s="222">
        <v>0.2</v>
      </c>
    </row>
    <row r="27" ht="14.25" customHeight="1">
      <c r="B27" s="223" t="s">
        <v>340</v>
      </c>
      <c r="C27" s="224">
        <f t="shared" ref="C27:L27" si="6">SUM(C24:C26)</f>
        <v>1</v>
      </c>
      <c r="D27" s="224">
        <f t="shared" si="6"/>
        <v>1</v>
      </c>
      <c r="E27" s="224">
        <f t="shared" si="6"/>
        <v>1</v>
      </c>
      <c r="F27" s="224">
        <f t="shared" si="6"/>
        <v>1</v>
      </c>
      <c r="G27" s="224">
        <f t="shared" si="6"/>
        <v>1</v>
      </c>
      <c r="H27" s="224">
        <f t="shared" si="6"/>
        <v>1</v>
      </c>
      <c r="I27" s="224">
        <f t="shared" si="6"/>
        <v>1</v>
      </c>
      <c r="J27" s="224">
        <f t="shared" si="6"/>
        <v>1</v>
      </c>
      <c r="K27" s="224">
        <f t="shared" si="6"/>
        <v>1</v>
      </c>
      <c r="L27" s="224">
        <f t="shared" si="6"/>
        <v>1</v>
      </c>
    </row>
    <row r="28" ht="14.25" customHeight="1"/>
    <row r="29" ht="14.25" customHeight="1"/>
    <row r="30" ht="14.25" customHeight="1"/>
    <row r="31" ht="14.25" customHeight="1">
      <c r="B31" s="79" t="s">
        <v>85</v>
      </c>
      <c r="E31" s="213" t="s">
        <v>369</v>
      </c>
    </row>
    <row r="32" ht="14.25" customHeight="1">
      <c r="B32" s="29" t="s">
        <v>346</v>
      </c>
      <c r="C32" s="231">
        <v>0.125</v>
      </c>
    </row>
    <row r="33" ht="14.25" customHeight="1">
      <c r="B33" s="196" t="s">
        <v>351</v>
      </c>
      <c r="C33" s="199">
        <v>0.125</v>
      </c>
    </row>
    <row r="34" ht="14.25" customHeight="1">
      <c r="B34" s="29" t="s">
        <v>347</v>
      </c>
      <c r="C34" s="231">
        <v>0.25</v>
      </c>
    </row>
    <row r="35" ht="14.25" customHeight="1">
      <c r="B35" s="196" t="s">
        <v>348</v>
      </c>
      <c r="C35" s="199">
        <v>0.25</v>
      </c>
    </row>
    <row r="36" ht="14.25" customHeight="1">
      <c r="B36" s="29" t="s">
        <v>349</v>
      </c>
      <c r="C36" s="231">
        <v>0.125</v>
      </c>
    </row>
    <row r="37" ht="14.25" customHeight="1">
      <c r="B37" s="196" t="s">
        <v>350</v>
      </c>
      <c r="C37" s="199">
        <v>0.125</v>
      </c>
    </row>
    <row r="38" ht="14.25" customHeight="1">
      <c r="B38" s="79" t="s">
        <v>340</v>
      </c>
      <c r="C38" s="159">
        <f>SUM(C32:C37)</f>
        <v>1</v>
      </c>
    </row>
    <row r="39" ht="14.25" customHeight="1"/>
    <row r="40" ht="14.25" customHeight="1">
      <c r="C40" s="232"/>
      <c r="D40" s="232"/>
      <c r="E40" s="232"/>
      <c r="F40" s="232"/>
      <c r="G40" s="232"/>
      <c r="H40" s="232"/>
      <c r="I40" s="232"/>
      <c r="J40" s="232"/>
      <c r="K40" s="232"/>
      <c r="L40" s="232"/>
    </row>
    <row r="41" ht="14.25" customHeight="1">
      <c r="B41" s="29" t="s">
        <v>346</v>
      </c>
      <c r="C41" s="180">
        <f t="shared" ref="C41:L41" si="7">+$C$32*C24</f>
        <v>0.0125</v>
      </c>
      <c r="D41" s="180">
        <f t="shared" si="7"/>
        <v>0.01875</v>
      </c>
      <c r="E41" s="180">
        <f t="shared" si="7"/>
        <v>0.03125</v>
      </c>
      <c r="F41" s="180">
        <f t="shared" si="7"/>
        <v>0.04375</v>
      </c>
      <c r="G41" s="180">
        <f t="shared" si="7"/>
        <v>0.05625</v>
      </c>
      <c r="H41" s="180">
        <f t="shared" si="7"/>
        <v>0.06875</v>
      </c>
      <c r="I41" s="180">
        <f t="shared" si="7"/>
        <v>0.08125</v>
      </c>
      <c r="J41" s="180">
        <f t="shared" si="7"/>
        <v>0.0875</v>
      </c>
      <c r="K41" s="180">
        <f t="shared" si="7"/>
        <v>0.09375</v>
      </c>
      <c r="L41" s="180">
        <f t="shared" si="7"/>
        <v>0.1</v>
      </c>
      <c r="O41" s="213" t="s">
        <v>370</v>
      </c>
    </row>
    <row r="42" ht="14.25" customHeight="1">
      <c r="B42" s="196" t="s">
        <v>351</v>
      </c>
      <c r="C42" s="199">
        <f t="shared" ref="C42:L42" si="8">+$C$33*C24</f>
        <v>0.0125</v>
      </c>
      <c r="D42" s="199">
        <f t="shared" si="8"/>
        <v>0.01875</v>
      </c>
      <c r="E42" s="199">
        <f t="shared" si="8"/>
        <v>0.03125</v>
      </c>
      <c r="F42" s="199">
        <f t="shared" si="8"/>
        <v>0.04375</v>
      </c>
      <c r="G42" s="199">
        <f t="shared" si="8"/>
        <v>0.05625</v>
      </c>
      <c r="H42" s="199">
        <f t="shared" si="8"/>
        <v>0.06875</v>
      </c>
      <c r="I42" s="199">
        <f t="shared" si="8"/>
        <v>0.08125</v>
      </c>
      <c r="J42" s="199">
        <f t="shared" si="8"/>
        <v>0.0875</v>
      </c>
      <c r="K42" s="199">
        <f t="shared" si="8"/>
        <v>0.09375</v>
      </c>
      <c r="L42" s="199">
        <f t="shared" si="8"/>
        <v>0.1</v>
      </c>
    </row>
    <row r="43" ht="14.25" customHeight="1">
      <c r="B43" s="29" t="s">
        <v>347</v>
      </c>
      <c r="C43" s="180">
        <f t="shared" ref="C43:L43" si="9">+$C$34*C24</f>
        <v>0.025</v>
      </c>
      <c r="D43" s="180">
        <f t="shared" si="9"/>
        <v>0.0375</v>
      </c>
      <c r="E43" s="180">
        <f t="shared" si="9"/>
        <v>0.0625</v>
      </c>
      <c r="F43" s="180">
        <f t="shared" si="9"/>
        <v>0.0875</v>
      </c>
      <c r="G43" s="180">
        <f t="shared" si="9"/>
        <v>0.1125</v>
      </c>
      <c r="H43" s="180">
        <f t="shared" si="9"/>
        <v>0.1375</v>
      </c>
      <c r="I43" s="180">
        <f t="shared" si="9"/>
        <v>0.1625</v>
      </c>
      <c r="J43" s="180">
        <f t="shared" si="9"/>
        <v>0.175</v>
      </c>
      <c r="K43" s="180">
        <f t="shared" si="9"/>
        <v>0.1875</v>
      </c>
      <c r="L43" s="180">
        <f t="shared" si="9"/>
        <v>0.2</v>
      </c>
    </row>
    <row r="44" ht="14.25" customHeight="1">
      <c r="B44" s="196" t="s">
        <v>348</v>
      </c>
      <c r="C44" s="199">
        <f t="shared" ref="C44:L44" si="10">+$C$35*C24</f>
        <v>0.025</v>
      </c>
      <c r="D44" s="199">
        <f t="shared" si="10"/>
        <v>0.0375</v>
      </c>
      <c r="E44" s="199">
        <f t="shared" si="10"/>
        <v>0.0625</v>
      </c>
      <c r="F44" s="199">
        <f t="shared" si="10"/>
        <v>0.0875</v>
      </c>
      <c r="G44" s="199">
        <f t="shared" si="10"/>
        <v>0.1125</v>
      </c>
      <c r="H44" s="199">
        <f t="shared" si="10"/>
        <v>0.1375</v>
      </c>
      <c r="I44" s="199">
        <f t="shared" si="10"/>
        <v>0.1625</v>
      </c>
      <c r="J44" s="199">
        <f t="shared" si="10"/>
        <v>0.175</v>
      </c>
      <c r="K44" s="199">
        <f t="shared" si="10"/>
        <v>0.1875</v>
      </c>
      <c r="L44" s="199">
        <f t="shared" si="10"/>
        <v>0.2</v>
      </c>
    </row>
    <row r="45" ht="14.25" customHeight="1">
      <c r="B45" s="29" t="s">
        <v>349</v>
      </c>
      <c r="C45" s="180">
        <f t="shared" ref="C45:L45" si="11">+$C$36*C24</f>
        <v>0.0125</v>
      </c>
      <c r="D45" s="180">
        <f t="shared" si="11"/>
        <v>0.01875</v>
      </c>
      <c r="E45" s="180">
        <f t="shared" si="11"/>
        <v>0.03125</v>
      </c>
      <c r="F45" s="180">
        <f t="shared" si="11"/>
        <v>0.04375</v>
      </c>
      <c r="G45" s="180">
        <f t="shared" si="11"/>
        <v>0.05625</v>
      </c>
      <c r="H45" s="180">
        <f t="shared" si="11"/>
        <v>0.06875</v>
      </c>
      <c r="I45" s="180">
        <f t="shared" si="11"/>
        <v>0.08125</v>
      </c>
      <c r="J45" s="180">
        <f t="shared" si="11"/>
        <v>0.0875</v>
      </c>
      <c r="K45" s="180">
        <f t="shared" si="11"/>
        <v>0.09375</v>
      </c>
      <c r="L45" s="180">
        <f t="shared" si="11"/>
        <v>0.1</v>
      </c>
    </row>
    <row r="46" ht="14.25" customHeight="1">
      <c r="B46" s="196" t="s">
        <v>350</v>
      </c>
      <c r="C46" s="199">
        <f t="shared" ref="C46:L46" si="12">+$C$37*C24</f>
        <v>0.0125</v>
      </c>
      <c r="D46" s="199">
        <f t="shared" si="12"/>
        <v>0.01875</v>
      </c>
      <c r="E46" s="199">
        <f t="shared" si="12"/>
        <v>0.03125</v>
      </c>
      <c r="F46" s="199">
        <f t="shared" si="12"/>
        <v>0.04375</v>
      </c>
      <c r="G46" s="199">
        <f t="shared" si="12"/>
        <v>0.05625</v>
      </c>
      <c r="H46" s="199">
        <f t="shared" si="12"/>
        <v>0.06875</v>
      </c>
      <c r="I46" s="199">
        <f t="shared" si="12"/>
        <v>0.08125</v>
      </c>
      <c r="J46" s="199">
        <f t="shared" si="12"/>
        <v>0.0875</v>
      </c>
      <c r="K46" s="199">
        <f t="shared" si="12"/>
        <v>0.09375</v>
      </c>
      <c r="L46" s="199">
        <f t="shared" si="12"/>
        <v>0.1</v>
      </c>
    </row>
    <row r="47" ht="14.25" customHeight="1">
      <c r="B47" s="79" t="s">
        <v>85</v>
      </c>
      <c r="C47" s="159">
        <f t="shared" ref="C47:L47" si="13">SUM(C41:C46)</f>
        <v>0.1</v>
      </c>
      <c r="D47" s="159">
        <f t="shared" si="13"/>
        <v>0.15</v>
      </c>
      <c r="E47" s="159">
        <f t="shared" si="13"/>
        <v>0.25</v>
      </c>
      <c r="F47" s="159">
        <f t="shared" si="13"/>
        <v>0.35</v>
      </c>
      <c r="G47" s="159">
        <f t="shared" si="13"/>
        <v>0.45</v>
      </c>
      <c r="H47" s="159">
        <f t="shared" si="13"/>
        <v>0.55</v>
      </c>
      <c r="I47" s="159">
        <f t="shared" si="13"/>
        <v>0.65</v>
      </c>
      <c r="J47" s="159">
        <f t="shared" si="13"/>
        <v>0.7</v>
      </c>
      <c r="K47" s="159">
        <f t="shared" si="13"/>
        <v>0.75</v>
      </c>
      <c r="L47" s="159">
        <f t="shared" si="13"/>
        <v>0.8</v>
      </c>
    </row>
    <row r="48" ht="14.25" customHeight="1">
      <c r="C48" s="28"/>
      <c r="D48" s="28"/>
      <c r="E48" s="28"/>
      <c r="F48" s="28"/>
      <c r="G48" s="28"/>
      <c r="H48" s="28"/>
      <c r="I48" s="28"/>
      <c r="J48" s="28"/>
      <c r="K48" s="28"/>
      <c r="L48" s="28"/>
    </row>
    <row r="49" ht="14.25" customHeight="1"/>
    <row r="50" ht="14.25" customHeight="1"/>
    <row r="51" ht="14.25" customHeight="1"/>
    <row r="52" ht="14.25" customHeight="1"/>
    <row r="53" ht="14.25" customHeight="1"/>
    <row r="54" ht="14.25" customHeight="1">
      <c r="B54" s="133" t="s">
        <v>365</v>
      </c>
      <c r="C54" s="135">
        <f t="shared" ref="C54:L54" si="14">+C55+C56+C57</f>
        <v>0.75</v>
      </c>
      <c r="D54" s="135">
        <f t="shared" si="14"/>
        <v>0.7</v>
      </c>
      <c r="E54" s="135">
        <f t="shared" si="14"/>
        <v>0.6</v>
      </c>
      <c r="F54" s="135">
        <f t="shared" si="14"/>
        <v>0.5</v>
      </c>
      <c r="G54" s="135">
        <f t="shared" si="14"/>
        <v>0.35</v>
      </c>
      <c r="H54" s="135">
        <f t="shared" si="14"/>
        <v>0.25</v>
      </c>
      <c r="I54" s="135">
        <f t="shared" si="14"/>
        <v>0.15</v>
      </c>
      <c r="J54" s="135">
        <f t="shared" si="14"/>
        <v>0.1</v>
      </c>
      <c r="K54" s="135">
        <f t="shared" si="14"/>
        <v>0.05</v>
      </c>
      <c r="L54" s="135">
        <f t="shared" si="14"/>
        <v>0</v>
      </c>
      <c r="O54" s="213" t="s">
        <v>366</v>
      </c>
    </row>
    <row r="55" ht="14.25" customHeight="1">
      <c r="B55" s="40" t="s">
        <v>333</v>
      </c>
      <c r="C55" s="104">
        <v>0.45</v>
      </c>
      <c r="D55" s="104">
        <v>0.42</v>
      </c>
      <c r="E55" s="104">
        <v>0.36</v>
      </c>
      <c r="F55" s="104">
        <v>0.35</v>
      </c>
      <c r="G55" s="104">
        <v>0.28</v>
      </c>
      <c r="H55" s="104">
        <v>0.25</v>
      </c>
      <c r="I55" s="104">
        <v>0.15</v>
      </c>
      <c r="J55" s="104">
        <v>0.1</v>
      </c>
      <c r="K55" s="104">
        <v>0.05</v>
      </c>
      <c r="L55" s="104">
        <v>0.0</v>
      </c>
    </row>
    <row r="56" ht="14.25" customHeight="1">
      <c r="B56" s="34" t="s">
        <v>149</v>
      </c>
      <c r="C56" s="229">
        <v>0.23</v>
      </c>
      <c r="D56" s="229">
        <v>0.18</v>
      </c>
      <c r="E56" s="229">
        <v>0.15</v>
      </c>
      <c r="F56" s="229">
        <v>0.1</v>
      </c>
      <c r="G56" s="229">
        <v>0.05</v>
      </c>
      <c r="H56" s="229">
        <v>0.0</v>
      </c>
      <c r="I56" s="229">
        <v>0.0</v>
      </c>
      <c r="J56" s="229">
        <v>0.0</v>
      </c>
      <c r="K56" s="229">
        <v>0.0</v>
      </c>
      <c r="L56" s="229">
        <v>0.0</v>
      </c>
    </row>
    <row r="57" ht="14.25" customHeight="1">
      <c r="B57" s="60" t="s">
        <v>335</v>
      </c>
      <c r="C57" s="230">
        <v>0.07</v>
      </c>
      <c r="D57" s="230">
        <v>0.1</v>
      </c>
      <c r="E57" s="230">
        <v>0.09</v>
      </c>
      <c r="F57" s="230">
        <v>0.05</v>
      </c>
      <c r="G57" s="230">
        <v>0.02</v>
      </c>
      <c r="H57" s="230">
        <v>0.0</v>
      </c>
      <c r="I57" s="230">
        <v>0.0</v>
      </c>
      <c r="J57" s="230">
        <v>0.0</v>
      </c>
      <c r="K57" s="230">
        <v>0.0</v>
      </c>
      <c r="L57" s="230">
        <v>0.0</v>
      </c>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rintOptions/>
  <pageMargins bottom="0.75" footer="0.0" header="0.0" left="0.7" right="0.7" top="0.75"/>
  <pageSetup orientation="landscape"/>
  <drawing r:id="rId1"/>
</worksheet>
</file>